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REDWAVE-Admin\Downloads\app testing\Sales upload\"/>
    </mc:Choice>
  </mc:AlternateContent>
  <xr:revisionPtr revIDLastSave="0" documentId="13_ncr:1_{E8DD44BC-0A37-443D-9A8F-156EE891DAC9}"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1" l="1"/>
  <c r="M5" i="1"/>
  <c r="L5" i="1"/>
  <c r="I5" i="1"/>
  <c r="O5" i="1" s="1"/>
  <c r="C5" i="1" a="1"/>
  <c r="C5" i="1" s="1"/>
  <c r="N4" i="1"/>
  <c r="M4" i="1"/>
  <c r="L4" i="1"/>
  <c r="Q4" i="1" s="1"/>
  <c r="I4" i="1"/>
  <c r="O4" i="1" s="1"/>
  <c r="C4" i="1" a="1"/>
  <c r="C4" i="1" s="1"/>
  <c r="N3" i="1"/>
  <c r="M3" i="1"/>
  <c r="L3" i="1"/>
  <c r="I3" i="1"/>
  <c r="I1" i="1" s="1"/>
  <c r="C3" i="1" a="1"/>
  <c r="C3" i="1" s="1"/>
  <c r="P1" i="1"/>
  <c r="N1" i="1"/>
  <c r="M1" i="1"/>
  <c r="L1" i="1"/>
  <c r="K1" i="1"/>
  <c r="J1" i="1"/>
  <c r="Q5" i="1" l="1"/>
  <c r="O3" i="1"/>
  <c r="O1" i="1" s="1"/>
  <c r="Q3" i="1" l="1"/>
  <c r="Q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<sst xmlns="http://schemas.openxmlformats.org/spreadsheetml/2006/main" count="35" uniqueCount="31">
  <si>
    <t>Sale Date</t>
  </si>
  <si>
    <t>Agent ID</t>
  </si>
  <si>
    <t xml:space="preserve">Agent  Name </t>
  </si>
  <si>
    <t xml:space="preserve">Customer's First Name </t>
  </si>
  <si>
    <t xml:space="preserve">Customer's Last Name </t>
  </si>
  <si>
    <t>Address</t>
  </si>
  <si>
    <t>Channel</t>
  </si>
  <si>
    <t>Product</t>
  </si>
  <si>
    <t xml:space="preserve">Internet </t>
  </si>
  <si>
    <t>TV</t>
  </si>
  <si>
    <t>Home Phone</t>
  </si>
  <si>
    <t>Internet Rate</t>
  </si>
  <si>
    <t xml:space="preserve">TV Rate </t>
  </si>
  <si>
    <t xml:space="preserve">HP Rate </t>
  </si>
  <si>
    <t>Bundle Bonus</t>
  </si>
  <si>
    <t xml:space="preserve">Spiff (July 13- july 19 ,2026) </t>
  </si>
  <si>
    <t>Total</t>
  </si>
  <si>
    <t>Redwave20</t>
  </si>
  <si>
    <t>Mark</t>
  </si>
  <si>
    <t>Thibault</t>
  </si>
  <si>
    <t>23 Shoreline Dr, Belair, Manitoba</t>
  </si>
  <si>
    <t>VF</t>
  </si>
  <si>
    <t>Fibre 1gig/2.5gig</t>
  </si>
  <si>
    <t>Redwave15</t>
  </si>
  <si>
    <t>Savario</t>
  </si>
  <si>
    <t>Wohlgemuth</t>
  </si>
  <si>
    <t>32 Elmdale Dr, Greenland, MB</t>
  </si>
  <si>
    <t>Redwave17</t>
  </si>
  <si>
    <t>Robert</t>
  </si>
  <si>
    <t>George</t>
  </si>
  <si>
    <t>63 Johnnys Dr, RM of Alexander, 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</si>
</sst>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10" x14ac:knownFonts="1">
    <font>
      <sz val="11"/>
      <color theme="1"/>
      <name val="Calibri"/>
      <family val="2"/>
      <scheme val="minor"/>
    </font>
    <font>
      <b/>
      <sz val="12"/>
      <color theme="1"/>
      <name val="Calibri"/>
      <family val="2"/>
      <scheme val="minor"/>
    </font>
    <font>
      <b/>
      <sz val="11"/>
      <color rgb="FFFFFFFF"/>
      <name val="Calibri"/>
      <family val="2"/>
    </font>
    <font>
      <sz val="11"/>
      <color rgb="FF000000"/>
      <name val="Aptos Narrow"/>
      <family val="2"/>
    </font>
    <font>
      <sz val="11"/>
      <color rgb="FF000000"/>
      <name val="Calibri"/>
      <family val="2"/>
    </font>
    <font>
      <sz val="12"/>
      <color rgb="FF000000"/>
      <name val="Aptos Narrow"/>
      <charset val="1"/>
    </font>
    <font>
      <sz val="11"/>
      <color rgb="FF000000"/>
      <name val="Calibri"/>
    </font>
    <font>
      <sz val="11"/>
      <color rgb="FF242424"/>
      <name val="Aptos Narrow"/>
      <charset val="1"/>
    </font>
    <font>
      <sz val="10"/>
      <color rgb="FF000000"/>
      <name val="Arial"/>
      <family val="2"/>
    </font>
    <font>
      <sz val="11"/>
      <color rgb="FF000000"/>
      <name val="Calibri"/>
      <charset val="1"/>
    </font>
  </fonts>
  <fills count="5">
    <fill>
      <patternFill patternType="none"/>
    </fill>
    <fill>
      <patternFill patternType="gray125"/>
    </fill>
    <fill>
      <patternFill patternType="solid">
        <fgColor theme="0"/>
        <bgColor indexed="64"/>
      </patternFill>
    </fill>
    <fill>
      <patternFill patternType="solid">
        <fgColor rgb="FF1F4E79"/>
        <bgColor rgb="FF1F4E79"/>
      </patternFill>
    </fill>
    <fill>
      <patternFill patternType="solid">
        <fgColor rgb="FFFFFFFF"/>
        <bgColor indexed="64"/>
      </patternFill>
    </fill>
  </fills>
  <borders count="8">
    <border>
      <left/>
      <right/>
      <top/>
      <bottom/>
      <diagonal/>
    </border>
    <border>
      <left/>
      <right style="thin">
        <color rgb="FFA0A0A0"/>
      </right>
      <top style="thin">
        <color rgb="FFA0A0A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s>
  <cellStyleXfs count="1">
    <xf numFmtId="0" fontId="0" fillId="0" borderId="0"/>
  </cellStyleXfs>
  <cellXfs count="29">
    <xf numFmtId="0" fontId="0" fillId="0" borderId="0" xfId="0"/>
    <xf numFmtId="0" fontId="0" fillId="2" borderId="0" xfId="0" applyFill="1" applyAlignment="1">
      <alignment horizontal="center" vertical="center"/>
    </xf>
    <xf numFmtId="0" fontId="0" fillId="0" borderId="0" xfId="0" applyAlignment="1">
      <alignment horizontal="center"/>
    </xf>
    <xf numFmtId="0" fontId="0" fillId="0" borderId="0" xfId="0" applyAlignment="1">
      <alignment horizontal="left"/>
    </xf>
    <xf numFmtId="0" fontId="0" fillId="2" borderId="0" xfId="0" applyFill="1" applyAlignment="1">
      <alignment horizontal="center" wrapText="1"/>
    </xf>
    <xf numFmtId="0" fontId="1" fillId="0" borderId="0" xfId="0" applyFont="1"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0" xfId="0" applyAlignment="1">
      <alignment horizontal="center" vertical="center"/>
    </xf>
    <xf numFmtId="14" fontId="3" fillId="4" borderId="2" xfId="0" applyNumberFormat="1"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wrapText="1"/>
    </xf>
    <xf numFmtId="0" fontId="5" fillId="4" borderId="0" xfId="0" applyFont="1" applyFill="1" applyAlignment="1">
      <alignment horizontal="left"/>
    </xf>
    <xf numFmtId="0" fontId="5" fillId="4" borderId="2" xfId="0" applyFont="1" applyFill="1" applyBorder="1" applyAlignment="1">
      <alignment horizontal="center"/>
    </xf>
    <xf numFmtId="0" fontId="6" fillId="4" borderId="2" xfId="0" applyFont="1" applyFill="1" applyBorder="1" applyAlignment="1">
      <alignment horizontal="left" wrapText="1"/>
    </xf>
    <xf numFmtId="0" fontId="4" fillId="4" borderId="4" xfId="0" applyFont="1" applyFill="1" applyBorder="1" applyAlignment="1">
      <alignment horizontal="center"/>
    </xf>
    <xf numFmtId="0" fontId="4" fillId="4" borderId="2" xfId="0" applyFont="1" applyFill="1" applyBorder="1" applyAlignment="1">
      <alignment horizontal="center"/>
    </xf>
    <xf numFmtId="164" fontId="4" fillId="4" borderId="5" xfId="0" applyNumberFormat="1" applyFont="1" applyFill="1" applyBorder="1" applyAlignment="1">
      <alignment horizontal="center"/>
    </xf>
    <xf numFmtId="0" fontId="7" fillId="4" borderId="2" xfId="0" applyFont="1" applyFill="1" applyBorder="1"/>
    <xf numFmtId="164" fontId="4" fillId="4" borderId="4" xfId="0" applyNumberFormat="1" applyFont="1" applyFill="1" applyBorder="1" applyAlignment="1">
      <alignment horizontal="center" vertical="center"/>
    </xf>
    <xf numFmtId="164" fontId="4" fillId="4" borderId="2" xfId="0" applyNumberFormat="1" applyFont="1" applyFill="1" applyBorder="1" applyAlignment="1">
      <alignment horizontal="center"/>
    </xf>
    <xf numFmtId="164" fontId="8" fillId="4" borderId="2" xfId="0" applyNumberFormat="1" applyFont="1" applyFill="1" applyBorder="1" applyAlignment="1">
      <alignment horizontal="center"/>
    </xf>
    <xf numFmtId="0" fontId="0" fillId="4" borderId="0" xfId="0" applyFill="1"/>
    <xf numFmtId="0" fontId="5" fillId="4" borderId="2" xfId="0" applyFont="1" applyFill="1" applyBorder="1" applyAlignment="1">
      <alignment horizontal="left"/>
    </xf>
    <xf numFmtId="0" fontId="5" fillId="4" borderId="4" xfId="0" applyFont="1" applyFill="1" applyBorder="1" applyAlignment="1">
      <alignment horizontal="center"/>
    </xf>
    <xf numFmtId="0" fontId="4" fillId="4" borderId="6" xfId="0" applyFont="1" applyFill="1" applyBorder="1" applyAlignment="1">
      <alignment horizontal="left" wrapText="1"/>
    </xf>
    <xf numFmtId="0" fontId="4" fillId="4" borderId="7" xfId="0" applyFont="1" applyFill="1" applyBorder="1" applyAlignment="1">
      <alignment horizontal="left" wrapText="1"/>
    </xf>
    <xf numFmtId="0" fontId="9" fillId="4" borderId="5" xfId="0" applyFont="1" applyFill="1" applyBorder="1" applyAlignment="1">
      <alignment horizontal="center"/>
    </xf>
    <xf numFmtId="0" fontId="3" fillId="4"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
  <sheetViews>
    <sheetView tabSelected="1" workbookViewId="0">
      <selection activeCell="G3" sqref="G3"/>
    </sheetView>
  </sheetViews>
  <sheetFormatPr defaultRowHeight="14.5" x14ac:dyDescent="0.35"/>
  <cols>
    <col min="1" max="1" width="27.26953125" customWidth="1"/>
    <col min="2" max="2" width="19.453125" customWidth="1"/>
    <col min="4" max="4" width="17.08984375" customWidth="1"/>
    <col min="5" max="5" width="13.54296875" customWidth="1"/>
  </cols>
  <sheetData>
    <row r="1" spans="1:18" ht="15.75" customHeight="1" x14ac:dyDescent="0.35">
      <c r="A1" s="1"/>
      <c r="B1" s="2"/>
      <c r="C1" s="2"/>
      <c r="D1" s="3"/>
      <c r="E1" s="2"/>
      <c r="F1" s="3"/>
      <c r="G1" s="2"/>
      <c r="H1" s="2"/>
      <c r="I1" s="4">
        <f>COUNTIF(I2:I227,TRUE)</f>
        <v>3</v>
      </c>
      <c r="J1" s="4">
        <f>COUNTIF(J2:J227,TRUE)</f>
        <v>0</v>
      </c>
      <c r="K1" s="4">
        <f>COUNTIF(K2:K227,TRUE)</f>
        <v>0</v>
      </c>
      <c r="L1" s="5">
        <f t="shared" ref="L1:Q1" si="0">SUBTOTAL(9,L3:L227)</f>
        <v>1050</v>
      </c>
      <c r="M1" s="5">
        <f t="shared" si="0"/>
        <v>0</v>
      </c>
      <c r="N1" s="5">
        <f t="shared" si="0"/>
        <v>0</v>
      </c>
      <c r="O1" s="5">
        <f t="shared" si="0"/>
        <v>0</v>
      </c>
      <c r="P1" s="5">
        <f t="shared" si="0"/>
        <v>0</v>
      </c>
      <c r="Q1" s="5">
        <f t="shared" si="0"/>
        <v>1050</v>
      </c>
      <c r="R1" s="2"/>
    </row>
    <row r="2" spans="1:18" s="8" customFormat="1" ht="37.5" customHeight="1" x14ac:dyDescent="0.35">
      <c r="A2" s="6" t="s">
        <v>0</v>
      </c>
      <c r="B2" s="6" t="s">
        <v>1</v>
      </c>
      <c r="C2" s="6" t="s">
        <v>2</v>
      </c>
      <c r="D2" s="7" t="s">
        <v>3</v>
      </c>
      <c r="E2" s="7" t="s">
        <v>4</v>
      </c>
      <c r="F2" s="6" t="s">
        <v>5</v>
      </c>
      <c r="G2" s="6" t="s">
        <v>6</v>
      </c>
      <c r="H2" s="6" t="s">
        <v>7</v>
      </c>
      <c r="I2" s="6" t="s">
        <v>8</v>
      </c>
      <c r="J2" s="6" t="s">
        <v>9</v>
      </c>
      <c r="K2" s="6" t="s">
        <v>10</v>
      </c>
      <c r="L2" s="6" t="s">
        <v>11</v>
      </c>
      <c r="M2" s="6" t="s">
        <v>12</v>
      </c>
      <c r="N2" s="6" t="s">
        <v>13</v>
      </c>
      <c r="O2" s="6" t="s">
        <v>14</v>
      </c>
      <c r="P2" s="7" t="s">
        <v>15</v>
      </c>
      <c r="Q2" s="6" t="s">
        <v>16</v>
      </c>
    </row>
    <row r="3" spans="1:18" s="22" customFormat="1" ht="15" customHeight="1" x14ac:dyDescent="0.4">
      <c r="A3" s="9">
        <v>46216</v>
      </c>
      <c r="B3" s="10" t="s">
        <v>17</v>
      </c>
      <c r="C3" s="11" t="str" cm="1">
        <f t="array" ref="C3">_xlfn.XLOOKUP(B3,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Redwave43"},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Hossain","Ali Ashraf"},
"")</f>
        <v>Sadrul Nihad (Pasha)</v>
      </c>
      <c r="D3" s="12" t="s">
        <v>18</v>
      </c>
      <c r="E3" s="13" t="s">
        <v>19</v>
      </c>
      <c r="F3" s="14" t="s">
        <v>20</v>
      </c>
      <c r="G3" s="15" t="s">
        <v>21</v>
      </c>
      <c r="H3" s="16" t="s">
        <v>22</v>
      </c>
      <c r="I3" s="17" t="b">
        <f>IF(TRIM(H3)="Fibre 150mb/300mb",TRUE,IF(TRIM(H3)="Fibre 500mb/650mb",TRUE,IF(OR(TRIM(H3)="Fibre 1gig/2.5gig",TRIM(H3)="RF Fibre 1gig/2.5gig"),TRUE,IF(TRIM(H3)="WI Internet 25/5",TRUE,IF(TRIM(H3)="WI Internet 50/10",TRUE,IF(TRIM(H3)="Business Internet 150",TRUE,IF(TRIM(H3)="Business Internet 500/1gig",TRUE,"")))))))</f>
        <v>1</v>
      </c>
      <c r="J3" s="18" t="b">
        <v>0</v>
      </c>
      <c r="K3" s="18" t="b">
        <v>0</v>
      </c>
      <c r="L3" s="19">
        <f>IF(COUNTIF(H3,"Fibre 150mb/300mb*"),280,
IF(COUNTIF(H3,"Fibre 500mb/650mb*"),340,
IF(COUNTIF(H3,"RF Fibre 1gig/2.5gig*"),365,
IF(COUNTIF(H3,"Fibre 1gig/2.5gig*"),350,
IF(COUNTIF(H3,"WI Internet 25/5*"),380,
IF(COUNTIF(H3,"WI Internet 50/10*"),380,
IF(COUNTIF(H3,"Business Internet 150*"),400,
IF(COUNTIF(H3,"Business Internet 500/1gig*"),450,""))))))))</f>
        <v>350</v>
      </c>
      <c r="M3" s="20">
        <f>IF(J3,50,0)</f>
        <v>0</v>
      </c>
      <c r="N3" s="20">
        <f>IF(K3,50,0)</f>
        <v>0</v>
      </c>
      <c r="O3" s="20">
        <f>IF(AND(I3=TRUE,J3=TRUE,K3=TRUE),0,0)</f>
        <v>0</v>
      </c>
      <c r="P3" s="20"/>
      <c r="Q3" s="21">
        <f>SUM(L3:P3)</f>
        <v>350</v>
      </c>
    </row>
    <row r="4" spans="1:18" s="22" customFormat="1" ht="20.25" customHeight="1" x14ac:dyDescent="0.4">
      <c r="A4" s="9">
        <v>46216</v>
      </c>
      <c r="B4" s="10" t="s">
        <v>23</v>
      </c>
      <c r="C4" s="11" t="str" cm="1">
        <f t="array" ref="C4">_xlfn.XLOOKUP(B4,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Redwave43"},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Hossain","Ali Ashraf"},
"")</f>
        <v>Atikur Rahman</v>
      </c>
      <c r="D4" s="23" t="s">
        <v>24</v>
      </c>
      <c r="E4" s="24" t="s">
        <v>25</v>
      </c>
      <c r="F4" s="25" t="s">
        <v>26</v>
      </c>
      <c r="G4" s="15" t="s">
        <v>21</v>
      </c>
      <c r="H4" s="16" t="s">
        <v>22</v>
      </c>
      <c r="I4" s="17" t="b">
        <f t="shared" ref="I4:I5" si="1">IF(TRIM(H4)="Fibre 150mb/300mb",TRUE,IF(TRIM(H4)="Fibre 500mb/650mb",TRUE,IF(OR(TRIM(H4)="Fibre 1gig/2.5gig",TRIM(H4)="RF Fibre 1gig/2.5gig"),TRUE,IF(TRIM(H4)="WI Internet 25/5",TRUE,IF(TRIM(H4)="WI Internet 50/10",TRUE,IF(TRIM(H4)="Business Internet 150",TRUE,IF(TRIM(H4)="Business Internet 500/1gig",TRUE,"")))))))</f>
        <v>1</v>
      </c>
      <c r="J4" s="18" t="b">
        <v>0</v>
      </c>
      <c r="K4" s="18" t="b">
        <v>0</v>
      </c>
      <c r="L4" s="19">
        <f t="shared" ref="L4:L5" si="2">IF(COUNTIF(H4,"Fibre 150mb/300mb*"),280,
IF(COUNTIF(H4,"Fibre 500mb/650mb*"),340,
IF(COUNTIF(H4,"RF Fibre 1gig/2.5gig*"),365,
IF(COUNTIF(H4,"Fibre 1gig/2.5gig*"),350,
IF(COUNTIF(H4,"WI Internet 25/5*"),380,
IF(COUNTIF(H4,"WI Internet 50/10*"),380,
IF(COUNTIF(H4,"Business Internet 150*"),400,
IF(COUNTIF(H4,"Business Internet 500/1gig*"),450,""))))))))</f>
        <v>350</v>
      </c>
      <c r="M4" s="20">
        <f t="shared" ref="M4:N5" si="3">IF(J4,50,0)</f>
        <v>0</v>
      </c>
      <c r="N4" s="20">
        <f>IF(K4,50,0)</f>
        <v>0</v>
      </c>
      <c r="O4" s="20">
        <f>IF(AND(I4=TRUE,J4=TRUE,K4=TRUE),35,0)</f>
        <v>0</v>
      </c>
      <c r="P4" s="20"/>
      <c r="Q4" s="21">
        <f t="shared" ref="Q4:Q5" si="4">SUM(L4:P4)</f>
        <v>350</v>
      </c>
    </row>
    <row r="5" spans="1:18" s="22" customFormat="1" ht="15.75" customHeight="1" x14ac:dyDescent="0.35">
      <c r="A5" s="9">
        <v>46216</v>
      </c>
      <c r="B5" s="10" t="s">
        <v>27</v>
      </c>
      <c r="C5" s="11" t="str" cm="1">
        <f t="array" ref="C5">_xlfn.XLOOKUP(B5,
{"Redwave01","Redwave02","Redwave03","Redwave04","Redwave05","Redwave06","Redwave07","Redwave08","Redwave09","Redwave10","Redwave11","Redwave12","Redwave13","Redwave14","Redwave15","Redwave16","Redwave17","Redwave18","Redwave19","Redwave20","Redwave21","Redwave22","Redwave23","Redwave24","Redwave25","Redwave26","Redwave27","Redwave28","Redwave29","Redwave30","Redwave31","Redwave32","Redwave33","Redwave34","Redwave35","Redwave36","Redwave37","Redwave38","Redwave39","Redwave40","Redwave41","Redwave42","Redwave43"},
{"Naimur Maher","Md Emran Shaikh","Md Rubel Munna","Md Shahidur Rahman Shifat","Zuhair Mohammed","Arifur Rahman","Md Rafiqul Islam","Mohammed Al Amin","Sowrov Debnath","Sadad Ahmed","Shehaf Shahriar (Fahim)","Zahid Chowdhury","Shahriar Rahman","Leo Ouimet","Atikur Rahman","Mir Adil Mahmud","Md Jubair Hossain","Ashish Sharma","Mubeen Afreed","Sadrul Nihad (Pasha)","Imran Jahur Emon","Arfin Rifat","Adnan Saquib","Jahidul Islam Rahat","Mohit Tapaniya","Sami Ahmed","Rabiul Himu","Minhaz Monsur","Mahbub Alam","Md Ruhul Quddus","Krish Chaudhary","Chukwue Meka","Javed","Asif","Jubin Chopra","Mohaimin Rahman","Abdul Barek Shanto","Sheikh Sajib","Daniyal Munner","Sayed Gardizi","Raihan Unddin","Shafayet Hossain","Ali Ashraf"},
"")</f>
        <v>Md Jubair Hossain</v>
      </c>
      <c r="D5" s="26" t="s">
        <v>28</v>
      </c>
      <c r="E5" s="27" t="s">
        <v>29</v>
      </c>
      <c r="F5" s="28" t="s">
        <v>30</v>
      </c>
      <c r="G5" s="15" t="s">
        <v>21</v>
      </c>
      <c r="H5" s="16" t="s">
        <v>22</v>
      </c>
      <c r="I5" s="17" t="b">
        <f t="shared" si="1"/>
        <v>1</v>
      </c>
      <c r="J5" s="18" t="b">
        <v>0</v>
      </c>
      <c r="K5" s="18" t="b">
        <v>0</v>
      </c>
      <c r="L5" s="19">
        <f t="shared" si="2"/>
        <v>350</v>
      </c>
      <c r="M5" s="20">
        <f t="shared" si="3"/>
        <v>0</v>
      </c>
      <c r="N5" s="20">
        <f t="shared" si="3"/>
        <v>0</v>
      </c>
      <c r="O5" s="20">
        <f>IF(AND(I5=TRUE,J5=TRUE,K5=TRUE),0,0)</f>
        <v>0</v>
      </c>
      <c r="P5" s="20"/>
      <c r="Q5" s="21">
        <f t="shared" si="4"/>
        <v>350</v>
      </c>
    </row>
  </sheetData>
  <dataValidations count="1">
    <dataValidation allowBlank="1" showInputMessage="1" showErrorMessage="1" sqref="C5:D5 C3:C4 I3:I5" xr:uid="{77F0251B-DBD0-47AE-83D9-74FABE6DBB30}"/>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REDWAVE-Admin</dc:creator>
  <cp:lastModifiedBy>Al Fahiyan Siyam</cp:lastModifiedBy>
  <dcterms:created xsi:type="dcterms:W3CDTF">2015-06-05T18:17:20Z</dcterms:created>
  <dcterms:modified xsi:type="dcterms:W3CDTF">2026-07-23T21:49:59Z</dcterms:modified>
</cp:coreProperties>
</file>