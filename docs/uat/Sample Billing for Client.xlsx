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REDWAVE-Admin\Downloads\app testing\Sample Files\"/>
    </mc:Choice>
  </mc:AlternateContent>
  <xr:revisionPtr revIDLastSave="0" documentId="13_ncr:1_{CB92B36D-D4FE-4BEB-B421-6F623A532B4E}" xr6:coauthVersionLast="47" xr6:coauthVersionMax="47" xr10:uidLastSave="{00000000-0000-0000-0000-000000000000}"/>
  <bookViews>
    <workbookView xWindow="-110" yWindow="-110" windowWidth="19420" windowHeight="11500" firstSheet="1" activeTab="1" xr2:uid="{B7B0D9DC-876C-5C44-B4A4-334332C774E3}"/>
  </bookViews>
  <sheets>
    <sheet name="worksheet " sheetId="2" r:id="rId1"/>
    <sheet name="Vf and RF Bill  " sheetId="1" r:id="rId2"/>
  </sheets>
  <definedNames>
    <definedName name="_xlnm._FilterDatabase" localSheetId="1" hidden="1">'Vf and RF Bill  '!$A$2:$T$78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8" i="1" l="1"/>
  <c r="C32" i="1" a="1"/>
  <c r="C32" i="1" s="1"/>
  <c r="C59" i="1" a="1"/>
  <c r="C59" i="1" s="1"/>
  <c r="C60" i="1" a="1"/>
  <c r="C60" i="1" s="1"/>
  <c r="C61" i="1" a="1"/>
  <c r="C61" i="1" s="1"/>
  <c r="C62" i="1" a="1"/>
  <c r="C62" i="1" s="1"/>
  <c r="C63" i="1" a="1"/>
  <c r="C63" i="1"/>
  <c r="C64" i="1" a="1"/>
  <c r="C64" i="1" s="1"/>
  <c r="C65" i="1" a="1"/>
  <c r="C65" i="1" s="1"/>
  <c r="C66" i="1" a="1"/>
  <c r="C66" i="1" s="1"/>
  <c r="C67" i="1" a="1"/>
  <c r="C67" i="1" s="1"/>
  <c r="I21" i="1"/>
  <c r="O21" i="1" s="1"/>
  <c r="P1" i="1"/>
  <c r="K1" i="1"/>
  <c r="J1" i="1"/>
  <c r="I78" i="1"/>
  <c r="O78" i="1" s="1"/>
  <c r="I77" i="1"/>
  <c r="I76" i="1"/>
  <c r="O76" i="1" s="1"/>
  <c r="I75" i="1"/>
  <c r="I74" i="1"/>
  <c r="O74" i="1" s="1"/>
  <c r="I73" i="1"/>
  <c r="O73" i="1" s="1"/>
  <c r="I72" i="1"/>
  <c r="O72" i="1" s="1"/>
  <c r="I71" i="1"/>
  <c r="O71" i="1" s="1"/>
  <c r="I70" i="1"/>
  <c r="I69" i="1"/>
  <c r="I68" i="1"/>
  <c r="O68" i="1" s="1"/>
  <c r="I67" i="1"/>
  <c r="O67" i="1" s="1"/>
  <c r="I66" i="1"/>
  <c r="I65" i="1"/>
  <c r="O65" i="1" s="1"/>
  <c r="I64" i="1"/>
  <c r="O64" i="1" s="1"/>
  <c r="I63" i="1"/>
  <c r="O63" i="1" s="1"/>
  <c r="I62" i="1"/>
  <c r="O62" i="1" s="1"/>
  <c r="I61" i="1"/>
  <c r="I60" i="1"/>
  <c r="O60" i="1" s="1"/>
  <c r="I59" i="1"/>
  <c r="O59" i="1" s="1"/>
  <c r="I58" i="1"/>
  <c r="I57" i="1"/>
  <c r="O57" i="1" s="1"/>
  <c r="I56" i="1"/>
  <c r="I55" i="1"/>
  <c r="O55" i="1" s="1"/>
  <c r="I54" i="1"/>
  <c r="I53" i="1"/>
  <c r="O53" i="1" s="1"/>
  <c r="I52" i="1"/>
  <c r="O52" i="1" s="1"/>
  <c r="I51" i="1"/>
  <c r="O51" i="1" s="1"/>
  <c r="I50" i="1"/>
  <c r="O50" i="1" s="1"/>
  <c r="I49" i="1"/>
  <c r="O49" i="1" s="1"/>
  <c r="I48" i="1"/>
  <c r="O48" i="1" s="1"/>
  <c r="I47" i="1"/>
  <c r="O47" i="1" s="1"/>
  <c r="I46" i="1"/>
  <c r="I45" i="1"/>
  <c r="I44" i="1"/>
  <c r="O44" i="1" s="1"/>
  <c r="I43" i="1"/>
  <c r="I42" i="1"/>
  <c r="O42" i="1" s="1"/>
  <c r="I41" i="1"/>
  <c r="O41" i="1" s="1"/>
  <c r="I40" i="1"/>
  <c r="O40" i="1" s="1"/>
  <c r="I39" i="1"/>
  <c r="O39" i="1" s="1"/>
  <c r="I38" i="1"/>
  <c r="I37" i="1"/>
  <c r="I36" i="1"/>
  <c r="I35" i="1"/>
  <c r="O35" i="1" s="1"/>
  <c r="I34" i="1"/>
  <c r="I33" i="1"/>
  <c r="O33" i="1" s="1"/>
  <c r="I32" i="1"/>
  <c r="I31" i="1"/>
  <c r="O31" i="1" s="1"/>
  <c r="I30" i="1"/>
  <c r="I29" i="1"/>
  <c r="I28" i="1"/>
  <c r="I27" i="1"/>
  <c r="I26" i="1"/>
  <c r="I25" i="1"/>
  <c r="O25" i="1" s="1"/>
  <c r="I24" i="1"/>
  <c r="O24" i="1" s="1"/>
  <c r="I23" i="1"/>
  <c r="O23" i="1" s="1"/>
  <c r="I22" i="1"/>
  <c r="I20" i="1"/>
  <c r="I19" i="1"/>
  <c r="I18" i="1"/>
  <c r="I17" i="1"/>
  <c r="O17" i="1" s="1"/>
  <c r="I16" i="1"/>
  <c r="O16" i="1" s="1"/>
  <c r="I15" i="1"/>
  <c r="O15" i="1" s="1"/>
  <c r="I14" i="1"/>
  <c r="O14" i="1" s="1"/>
  <c r="I13" i="1"/>
  <c r="I12" i="1"/>
  <c r="I11" i="1"/>
  <c r="I10" i="1"/>
  <c r="O10" i="1" s="1"/>
  <c r="I9" i="1"/>
  <c r="O9" i="1" s="1"/>
  <c r="I8" i="1"/>
  <c r="O8" i="1" s="1"/>
  <c r="I7" i="1"/>
  <c r="O7" i="1" s="1"/>
  <c r="I6" i="1"/>
  <c r="O6" i="1" s="1"/>
  <c r="I5" i="1"/>
  <c r="I4"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0" i="1"/>
  <c r="L29" i="1"/>
  <c r="L28" i="1"/>
  <c r="L27" i="1"/>
  <c r="L26" i="1"/>
  <c r="L25" i="1"/>
  <c r="L23" i="1"/>
  <c r="L22" i="1"/>
  <c r="L20" i="1"/>
  <c r="L19" i="1"/>
  <c r="L18" i="1"/>
  <c r="L17" i="1"/>
  <c r="L16" i="1"/>
  <c r="L15" i="1"/>
  <c r="L14" i="1"/>
  <c r="L13" i="1"/>
  <c r="L12" i="1"/>
  <c r="L11" i="1"/>
  <c r="L10" i="1"/>
  <c r="L9" i="1"/>
  <c r="L8" i="1"/>
  <c r="L7" i="1"/>
  <c r="L5" i="1"/>
  <c r="L4" i="1"/>
  <c r="I3" i="1"/>
  <c r="O75" i="1"/>
  <c r="O77" i="1"/>
  <c r="N72" i="1"/>
  <c r="N73" i="1"/>
  <c r="N74" i="1"/>
  <c r="N75" i="1"/>
  <c r="N76" i="1"/>
  <c r="N77" i="1"/>
  <c r="N78" i="1"/>
  <c r="M72" i="1"/>
  <c r="M73" i="1"/>
  <c r="M74" i="1"/>
  <c r="M75" i="1"/>
  <c r="M76" i="1"/>
  <c r="M77" i="1"/>
  <c r="M78" i="1"/>
  <c r="C3" i="1" a="1"/>
  <c r="C3" i="1" s="1"/>
  <c r="N59" i="1"/>
  <c r="N60" i="1"/>
  <c r="N61" i="1"/>
  <c r="N62" i="1"/>
  <c r="N63" i="1"/>
  <c r="N64" i="1"/>
  <c r="N65" i="1"/>
  <c r="N66" i="1"/>
  <c r="N67" i="1"/>
  <c r="N68" i="1"/>
  <c r="N69" i="1"/>
  <c r="N70" i="1"/>
  <c r="N71" i="1"/>
  <c r="M59" i="1"/>
  <c r="M60" i="1"/>
  <c r="M61" i="1"/>
  <c r="M62" i="1"/>
  <c r="M63" i="1"/>
  <c r="M64" i="1"/>
  <c r="M65" i="1"/>
  <c r="M66" i="1"/>
  <c r="M67" i="1"/>
  <c r="M68" i="1"/>
  <c r="M69" i="1"/>
  <c r="M70" i="1"/>
  <c r="M71" i="1"/>
  <c r="I3" i="2"/>
  <c r="O69" i="1"/>
  <c r="O70" i="1"/>
  <c r="O61" i="1"/>
  <c r="O66" i="1"/>
  <c r="C58" i="1" a="1"/>
  <c r="C58" i="1" s="1"/>
  <c r="C57" i="1" a="1"/>
  <c r="C57" i="1" s="1"/>
  <c r="C56" i="1" a="1"/>
  <c r="C56" i="1" s="1"/>
  <c r="C55" i="1" a="1"/>
  <c r="C55" i="1" s="1"/>
  <c r="C54" i="1" a="1"/>
  <c r="C54" i="1" s="1"/>
  <c r="C53" i="1" a="1"/>
  <c r="C53" i="1" s="1"/>
  <c r="C52" i="1" a="1"/>
  <c r="C52" i="1" s="1"/>
  <c r="C51" i="1" a="1"/>
  <c r="C51" i="1" s="1"/>
  <c r="C50" i="1" a="1"/>
  <c r="C50" i="1" s="1"/>
  <c r="C49" i="1" a="1"/>
  <c r="C49" i="1" s="1"/>
  <c r="C48" i="1" a="1"/>
  <c r="C48" i="1" s="1"/>
  <c r="C47" i="1" a="1"/>
  <c r="C47" i="1" s="1"/>
  <c r="C46" i="1" a="1"/>
  <c r="C46" i="1" s="1"/>
  <c r="C45" i="1" a="1"/>
  <c r="C45" i="1" s="1"/>
  <c r="C44" i="1" a="1"/>
  <c r="C44" i="1" s="1"/>
  <c r="C43" i="1" a="1"/>
  <c r="C43" i="1" s="1"/>
  <c r="C42" i="1" a="1"/>
  <c r="C42" i="1" s="1"/>
  <c r="C41" i="1" a="1"/>
  <c r="C41" i="1" s="1"/>
  <c r="C40" i="1" a="1"/>
  <c r="C40" i="1" s="1"/>
  <c r="C39" i="1" a="1"/>
  <c r="C39" i="1" s="1"/>
  <c r="C38" i="1" a="1"/>
  <c r="C38" i="1" s="1"/>
  <c r="C37" i="1" a="1"/>
  <c r="C37" i="1" s="1"/>
  <c r="C36" i="1" a="1"/>
  <c r="C36" i="1" s="1"/>
  <c r="C35" i="1" a="1"/>
  <c r="C35" i="1" s="1"/>
  <c r="C34" i="1" a="1"/>
  <c r="C34" i="1" s="1"/>
  <c r="C33" i="1" a="1"/>
  <c r="C33" i="1" s="1"/>
  <c r="C31" i="1" a="1"/>
  <c r="C31" i="1" s="1"/>
  <c r="C30" i="1" a="1"/>
  <c r="C30" i="1" s="1"/>
  <c r="C29" i="1" a="1"/>
  <c r="C29" i="1" s="1"/>
  <c r="C28" i="1" a="1"/>
  <c r="C28" i="1" s="1"/>
  <c r="C27" i="1" a="1"/>
  <c r="C27" i="1" s="1"/>
  <c r="C26" i="1" a="1"/>
  <c r="C26" i="1" s="1"/>
  <c r="C25" i="1" a="1"/>
  <c r="C25" i="1" s="1"/>
  <c r="C24" i="1" a="1"/>
  <c r="C24" i="1" s="1"/>
  <c r="C23" i="1" a="1"/>
  <c r="C23" i="1" s="1"/>
  <c r="C22" i="1" a="1"/>
  <c r="C22" i="1" s="1"/>
  <c r="C21" i="1" a="1"/>
  <c r="C21" i="1" s="1"/>
  <c r="C20" i="1" a="1"/>
  <c r="C20" i="1" s="1"/>
  <c r="C19" i="1" a="1"/>
  <c r="C19" i="1" s="1"/>
  <c r="C18" i="1" a="1"/>
  <c r="C18" i="1" s="1"/>
  <c r="C17" i="1" a="1"/>
  <c r="C17" i="1" s="1"/>
  <c r="C16" i="1" a="1"/>
  <c r="C16" i="1" s="1"/>
  <c r="C15" i="1" a="1"/>
  <c r="C15" i="1" s="1"/>
  <c r="C14" i="1" a="1"/>
  <c r="C14" i="1" s="1"/>
  <c r="C13" i="1" a="1"/>
  <c r="C13" i="1" s="1"/>
  <c r="C12" i="1" a="1"/>
  <c r="C12" i="1" s="1"/>
  <c r="C11" i="1" a="1"/>
  <c r="C11" i="1" s="1"/>
  <c r="C10" i="1" a="1"/>
  <c r="C10" i="1" s="1"/>
  <c r="C9" i="1" a="1"/>
  <c r="C9" i="1" s="1"/>
  <c r="C8" i="1" a="1"/>
  <c r="C8" i="1" s="1"/>
  <c r="C7" i="1" a="1"/>
  <c r="C7" i="1" s="1"/>
  <c r="C6" i="1" a="1"/>
  <c r="C6" i="1" s="1"/>
  <c r="C5" i="1" a="1"/>
  <c r="C5" i="1" s="1"/>
  <c r="C4" i="1" a="1"/>
  <c r="C4" i="1" s="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3"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4" i="1"/>
  <c r="M5" i="1"/>
  <c r="M6" i="1"/>
  <c r="M7" i="1"/>
  <c r="M8" i="1"/>
  <c r="M9" i="1"/>
  <c r="M10" i="1"/>
  <c r="M11" i="1"/>
  <c r="M12" i="1"/>
  <c r="M13" i="1"/>
  <c r="M14" i="1"/>
  <c r="M15" i="1"/>
  <c r="M16" i="1"/>
  <c r="M17" i="1"/>
  <c r="M18" i="1"/>
  <c r="M19" i="1"/>
  <c r="M20" i="1"/>
  <c r="M21" i="1"/>
  <c r="M22" i="1"/>
  <c r="M23" i="1"/>
  <c r="M24" i="1"/>
  <c r="M25" i="1"/>
  <c r="M26" i="1"/>
  <c r="M27" i="1"/>
  <c r="M28" i="1"/>
  <c r="M29" i="1"/>
  <c r="M3" i="1"/>
  <c r="O34" i="1"/>
  <c r="O56" i="1"/>
  <c r="O43" i="1"/>
  <c r="O54" i="1"/>
  <c r="O46" i="1"/>
  <c r="O45" i="1"/>
  <c r="O38" i="1"/>
  <c r="O37" i="1"/>
  <c r="O36" i="1"/>
  <c r="O32" i="1"/>
  <c r="O30" i="1"/>
  <c r="O29" i="1"/>
  <c r="O28" i="1"/>
  <c r="O27" i="1"/>
  <c r="O26" i="1"/>
  <c r="O22" i="1"/>
  <c r="O20" i="1"/>
  <c r="O19" i="1"/>
  <c r="O18" i="1"/>
  <c r="O13" i="1"/>
  <c r="O12" i="1"/>
  <c r="O11" i="1"/>
  <c r="O5" i="1"/>
  <c r="O4" i="1"/>
  <c r="Q34" i="1" l="1"/>
  <c r="Q73" i="1"/>
  <c r="L1" i="1"/>
  <c r="Q75" i="1"/>
  <c r="Q33" i="1"/>
  <c r="Q49" i="1"/>
  <c r="Q7" i="1"/>
  <c r="Q8" i="1"/>
  <c r="Q25" i="1"/>
  <c r="Q41" i="1"/>
  <c r="Q57" i="1"/>
  <c r="Q35" i="1"/>
  <c r="Q64" i="1"/>
  <c r="Q44" i="1"/>
  <c r="Q52" i="1"/>
  <c r="Q63" i="1"/>
  <c r="Q69" i="1"/>
  <c r="Q37" i="1"/>
  <c r="Q72" i="1"/>
  <c r="Q18" i="1"/>
  <c r="Q27" i="1"/>
  <c r="Q47" i="1"/>
  <c r="Q55" i="1"/>
  <c r="Q43" i="1"/>
  <c r="Q10" i="1"/>
  <c r="Q29" i="1"/>
  <c r="Q48" i="1"/>
  <c r="Q20" i="1"/>
  <c r="Q39" i="1"/>
  <c r="Q4" i="1"/>
  <c r="Q22" i="1"/>
  <c r="Q31" i="1"/>
  <c r="Q50" i="1"/>
  <c r="Q77" i="1"/>
  <c r="Q74" i="1"/>
  <c r="Q76" i="1"/>
  <c r="Q56" i="1"/>
  <c r="Q5" i="1"/>
  <c r="Q15" i="1"/>
  <c r="Q14" i="1"/>
  <c r="Q46" i="1"/>
  <c r="Q54" i="1"/>
  <c r="Q17" i="1"/>
  <c r="Q23" i="1"/>
  <c r="Q65" i="1"/>
  <c r="Q71" i="1"/>
  <c r="Q19" i="1"/>
  <c r="Q28" i="1"/>
  <c r="Q38" i="1"/>
  <c r="Q58" i="1"/>
  <c r="Q70" i="1"/>
  <c r="Q11" i="1"/>
  <c r="Q21" i="1"/>
  <c r="Q30" i="1"/>
  <c r="Q40" i="1"/>
  <c r="Q9" i="1"/>
  <c r="Q62" i="1"/>
  <c r="Q68" i="1"/>
  <c r="Q61" i="1"/>
  <c r="Q67" i="1"/>
  <c r="Q13" i="1"/>
  <c r="Q24" i="1"/>
  <c r="Q32" i="1"/>
  <c r="Q42" i="1"/>
  <c r="Q51" i="1"/>
  <c r="Q60" i="1"/>
  <c r="Q59" i="1"/>
  <c r="Q6" i="1"/>
  <c r="Q26" i="1"/>
  <c r="Q36" i="1"/>
  <c r="Q45" i="1"/>
  <c r="Q53" i="1"/>
  <c r="Q66" i="1"/>
  <c r="Q78" i="1"/>
  <c r="N1" i="1"/>
  <c r="M1" i="1"/>
  <c r="I1" i="1"/>
  <c r="Q16" i="1"/>
  <c r="Q12" i="1"/>
  <c r="O3" i="1"/>
  <c r="O1" i="1" s="1"/>
  <c r="Q3" i="1" l="1"/>
  <c r="Q1" i="1" l="1"/>
  <c r="Q7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<sst xmlns="http://schemas.openxmlformats.org/spreadsheetml/2006/main" count="448" uniqueCount="268">
  <si>
    <t>TRUE</t>
  </si>
  <si>
    <t>VF</t>
  </si>
  <si>
    <t>Fibre 150mb/300mb</t>
  </si>
  <si>
    <t>RF</t>
  </si>
  <si>
    <t>Fibre 500mb/650mb</t>
  </si>
  <si>
    <t>Fibre 1gig/2.5gig</t>
  </si>
  <si>
    <t>Redwave01</t>
  </si>
  <si>
    <t>Naimur Maher</t>
  </si>
  <si>
    <t xml:space="preserve">WI Internet 25/5 </t>
  </si>
  <si>
    <t>Redwave02</t>
  </si>
  <si>
    <t>Md Emran Shaikh</t>
  </si>
  <si>
    <t xml:space="preserve">WI Internet 50/10 </t>
  </si>
  <si>
    <t>Redwave03</t>
  </si>
  <si>
    <t>Md Rubel Munna</t>
  </si>
  <si>
    <t xml:space="preserve">Business Internet 150 </t>
  </si>
  <si>
    <t>Redwave04</t>
  </si>
  <si>
    <t>Md Shahidur Rahman Shifat</t>
  </si>
  <si>
    <t>Business Internet 500/1gig</t>
  </si>
  <si>
    <t>Redwave05</t>
  </si>
  <si>
    <t>Zuhair Mohammed</t>
  </si>
  <si>
    <t>RF Fibre 1gig/2.5gig</t>
  </si>
  <si>
    <t>Redwave06</t>
  </si>
  <si>
    <t xml:space="preserve">Arifur Rahman </t>
  </si>
  <si>
    <t>Redwave07</t>
  </si>
  <si>
    <t>Md Rafiqul Islam</t>
  </si>
  <si>
    <t>Redwave08</t>
  </si>
  <si>
    <t>Mohammed Al Amin</t>
  </si>
  <si>
    <t>Redwave09</t>
  </si>
  <si>
    <t>Sowrov Debnath</t>
  </si>
  <si>
    <t>Redwave10</t>
  </si>
  <si>
    <t>Sadad Ahmed</t>
  </si>
  <si>
    <t>Redwave11</t>
  </si>
  <si>
    <t>Shehaf Shahriar (Fahim)</t>
  </si>
  <si>
    <t>Redwave12</t>
  </si>
  <si>
    <t xml:space="preserve">Zahid Chowdhury </t>
  </si>
  <si>
    <t>Redwave13</t>
  </si>
  <si>
    <t xml:space="preserve">Shahriar Rahman </t>
  </si>
  <si>
    <t>Redwave14</t>
  </si>
  <si>
    <t>Leo Ouimet</t>
  </si>
  <si>
    <t>Redwave15</t>
  </si>
  <si>
    <t xml:space="preserve">Atikur Rahman </t>
  </si>
  <si>
    <t>Redwave16</t>
  </si>
  <si>
    <t>Mir Adil Mahmud</t>
  </si>
  <si>
    <t>Redwave17</t>
  </si>
  <si>
    <t xml:space="preserve">Md Jubair Hossain </t>
  </si>
  <si>
    <t>Redwave18</t>
  </si>
  <si>
    <t>Ashish Sharma</t>
  </si>
  <si>
    <t>Redwave19</t>
  </si>
  <si>
    <t xml:space="preserve">Mubeen Afreed </t>
  </si>
  <si>
    <t>Redwave20</t>
  </si>
  <si>
    <t>Sadrul Nihad (Pasha)</t>
  </si>
  <si>
    <t>Redwave21</t>
  </si>
  <si>
    <t xml:space="preserve">Imran Jahur Emon </t>
  </si>
  <si>
    <t>Redwave22</t>
  </si>
  <si>
    <t xml:space="preserve">Arfin Rifat </t>
  </si>
  <si>
    <t>Redwave23</t>
  </si>
  <si>
    <t xml:space="preserve">Adnan Saquib </t>
  </si>
  <si>
    <t>Redwave24</t>
  </si>
  <si>
    <t xml:space="preserve">Jahidul Islam Rahat </t>
  </si>
  <si>
    <t>Redwave25</t>
  </si>
  <si>
    <t xml:space="preserve">Mohit Tapaniya </t>
  </si>
  <si>
    <t>Redwave26</t>
  </si>
  <si>
    <t xml:space="preserve">Sami Ahmed </t>
  </si>
  <si>
    <t>Redwave27</t>
  </si>
  <si>
    <t xml:space="preserve">Rabiul Himu </t>
  </si>
  <si>
    <t>Redwave28</t>
  </si>
  <si>
    <t>Minhaz Monsur</t>
  </si>
  <si>
    <t>Redwave29</t>
  </si>
  <si>
    <t>Mahbub Alam</t>
  </si>
  <si>
    <t>Redwave30</t>
  </si>
  <si>
    <t>Md Ruhul Quddus</t>
  </si>
  <si>
    <t>Redwave31</t>
  </si>
  <si>
    <t xml:space="preserve">Krish Chaudhary </t>
  </si>
  <si>
    <t>Redwave32</t>
  </si>
  <si>
    <t xml:space="preserve">Chukwue Meka </t>
  </si>
  <si>
    <t>Redwave33</t>
  </si>
  <si>
    <t>Javed</t>
  </si>
  <si>
    <t>Redwave34</t>
  </si>
  <si>
    <t>Asif</t>
  </si>
  <si>
    <t>Redwave 35</t>
  </si>
  <si>
    <t xml:space="preserve">Jubin Chopra </t>
  </si>
  <si>
    <t>Redwave36</t>
  </si>
  <si>
    <t xml:space="preserve">Mohaimin Rahman </t>
  </si>
  <si>
    <t>Redwave37</t>
  </si>
  <si>
    <t>Abdul Barek Shanto</t>
  </si>
  <si>
    <t>Redwave38</t>
  </si>
  <si>
    <t>Sheikh Sajib</t>
  </si>
  <si>
    <t>Redwave39</t>
  </si>
  <si>
    <t xml:space="preserve">Daniyal Munner </t>
  </si>
  <si>
    <t>Redwave40</t>
  </si>
  <si>
    <t xml:space="preserve">Sayed Gardizi </t>
  </si>
  <si>
    <t>Redwave41</t>
  </si>
  <si>
    <t xml:space="preserve">Raihan Unddin </t>
  </si>
  <si>
    <t>Redwave42</t>
  </si>
  <si>
    <t xml:space="preserve">Shafayet Hossain </t>
  </si>
  <si>
    <t>Sale Date</t>
  </si>
  <si>
    <t>Agent ID</t>
  </si>
  <si>
    <t xml:space="preserve">Agent  Name </t>
  </si>
  <si>
    <t xml:space="preserve">Customer's First Name </t>
  </si>
  <si>
    <t xml:space="preserve">Customer's Last Name </t>
  </si>
  <si>
    <t>Address</t>
  </si>
  <si>
    <t>Channel</t>
  </si>
  <si>
    <t>Product</t>
  </si>
  <si>
    <t xml:space="preserve">Internet </t>
  </si>
  <si>
    <t>TV</t>
  </si>
  <si>
    <t>Home Phone</t>
  </si>
  <si>
    <t>Internet Rate</t>
  </si>
  <si>
    <t xml:space="preserve">TV Rate </t>
  </si>
  <si>
    <t xml:space="preserve">HP Rate </t>
  </si>
  <si>
    <t>Bundle Bonus</t>
  </si>
  <si>
    <t xml:space="preserve">Spiff (June 29- 5 ,2026) </t>
  </si>
  <si>
    <t>Total</t>
  </si>
  <si>
    <t>Friesen</t>
  </si>
  <si>
    <t>Patel</t>
  </si>
  <si>
    <t>Dyck</t>
  </si>
  <si>
    <t>Penner</t>
  </si>
  <si>
    <t>Daniel</t>
  </si>
  <si>
    <t>Roy</t>
  </si>
  <si>
    <t>Fontaine</t>
  </si>
  <si>
    <t>Owen</t>
  </si>
  <si>
    <t>William</t>
  </si>
  <si>
    <t>Janzen</t>
  </si>
  <si>
    <t>Lavoie</t>
  </si>
  <si>
    <t>Stewart</t>
  </si>
  <si>
    <t>Fraser</t>
  </si>
  <si>
    <t>Michael</t>
  </si>
  <si>
    <t>James</t>
  </si>
  <si>
    <t>Mitchell</t>
  </si>
  <si>
    <t>Liam</t>
  </si>
  <si>
    <t>Olivia</t>
  </si>
  <si>
    <t>Noah</t>
  </si>
  <si>
    <t>Emma</t>
  </si>
  <si>
    <t>Benjamin</t>
  </si>
  <si>
    <t>Chloe</t>
  </si>
  <si>
    <t>Jackson</t>
  </si>
  <si>
    <t>Maya</t>
  </si>
  <si>
    <t>Lucas</t>
  </si>
  <si>
    <t>Sophia</t>
  </si>
  <si>
    <t>Gabriel</t>
  </si>
  <si>
    <t>Amelia</t>
  </si>
  <si>
    <t>Lily</t>
  </si>
  <si>
    <t>Leo</t>
  </si>
  <si>
    <t>Abigail</t>
  </si>
  <si>
    <t>Jacob</t>
  </si>
  <si>
    <t>Charlotte</t>
  </si>
  <si>
    <t>Ethan</t>
  </si>
  <si>
    <t>Isabella</t>
  </si>
  <si>
    <t>Mason</t>
  </si>
  <si>
    <t>Ava</t>
  </si>
  <si>
    <t>Evelyn</t>
  </si>
  <si>
    <t>Logan</t>
  </si>
  <si>
    <t>Mia</t>
  </si>
  <si>
    <t>Ella</t>
  </si>
  <si>
    <t>Avery</t>
  </si>
  <si>
    <t>Jack</t>
  </si>
  <si>
    <t>Sofia</t>
  </si>
  <si>
    <t>Henry</t>
  </si>
  <si>
    <t>Scarlett</t>
  </si>
  <si>
    <t>Wyatt</t>
  </si>
  <si>
    <t>Layla</t>
  </si>
  <si>
    <t>Zoey</t>
  </si>
  <si>
    <t>Madison</t>
  </si>
  <si>
    <t>Carter</t>
  </si>
  <si>
    <t>Eleanor</t>
  </si>
  <si>
    <t>Alexander</t>
  </si>
  <si>
    <t>Grace</t>
  </si>
  <si>
    <t>Victoria</t>
  </si>
  <si>
    <t>Emily</t>
  </si>
  <si>
    <t>Luke</t>
  </si>
  <si>
    <t>Hazel</t>
  </si>
  <si>
    <t>Samuel</t>
  </si>
  <si>
    <t>Anthony</t>
  </si>
  <si>
    <t>Tremblay</t>
  </si>
  <si>
    <t>Smith</t>
  </si>
  <si>
    <t>MacLeod</t>
  </si>
  <si>
    <t>Wong</t>
  </si>
  <si>
    <t>Davies</t>
  </si>
  <si>
    <t>Bouchard</t>
  </si>
  <si>
    <t>Miller</t>
  </si>
  <si>
    <t>Fischer</t>
  </si>
  <si>
    <t>Gallagher</t>
  </si>
  <si>
    <t>Bennett</t>
  </si>
  <si>
    <t>MacDonald</t>
  </si>
  <si>
    <t>Dubé</t>
  </si>
  <si>
    <t>Taylor</t>
  </si>
  <si>
    <t>Côté</t>
  </si>
  <si>
    <t>Murphy</t>
  </si>
  <si>
    <t>Santos</t>
  </si>
  <si>
    <t>Gauthier</t>
  </si>
  <si>
    <t>Campbell</t>
  </si>
  <si>
    <t>Morrison</t>
  </si>
  <si>
    <t>Higgins</t>
  </si>
  <si>
    <t>Wright</t>
  </si>
  <si>
    <t>Vance</t>
  </si>
  <si>
    <t>Martinez</t>
  </si>
  <si>
    <t>Simard</t>
  </si>
  <si>
    <t>Hall</t>
  </si>
  <si>
    <t>Kelly</t>
  </si>
  <si>
    <t>Chen</t>
  </si>
  <si>
    <t>Lévesque</t>
  </si>
  <si>
    <t>Nguyen</t>
  </si>
  <si>
    <t>Ross</t>
  </si>
  <si>
    <t>Gagnon</t>
  </si>
  <si>
    <t>Hughes</t>
  </si>
  <si>
    <t>O'Neill</t>
  </si>
  <si>
    <t>Peterson</t>
  </si>
  <si>
    <t>Walsh</t>
  </si>
  <si>
    <t>Cooper</t>
  </si>
  <si>
    <t>Pelletier</t>
  </si>
  <si>
    <t>Watson</t>
  </si>
  <si>
    <t>Bourque</t>
  </si>
  <si>
    <t>Gill</t>
  </si>
  <si>
    <t>452 Rue Saint-Paul, Montreal, QC, H2Y 2A6</t>
  </si>
  <si>
    <t>789 Bloor St W, Toronto, ON, M6G 1L5</t>
  </si>
  <si>
    <t>1204 Barrington St, Halifax, NS, B3J 1Y3</t>
  </si>
  <si>
    <t>315 Robson St, Vancouver, BC, V6B 6B7</t>
  </si>
  <si>
    <t>10255 104 St NW, Edmonton, AB, T5J 1B1</t>
  </si>
  <si>
    <t>823 Rue Garneau, Quebec City, QC, G1R 3S8</t>
  </si>
  <si>
    <t>456 University Ave, Toronto, ON, M5G 1Z5</t>
  </si>
  <si>
    <t>1849 Scarth St, Regina, SK, S4P 2G3</t>
  </si>
  <si>
    <t>333 St Mary Ave, Winnipeg, MB, R3C 4A5</t>
  </si>
  <si>
    <t>620 View St, Victoria, BC, V8W 1J4</t>
  </si>
  <si>
    <t>145 Grande Allée E, Quebec City, QC, G1R 2H1</t>
  </si>
  <si>
    <t>85 Shuter St, Toronto, ON, M5B 1B5</t>
  </si>
  <si>
    <t>5151 George St, Halifax, NS, B3J 1M5</t>
  </si>
  <si>
    <t>10111 104 Ave, Edmonton, AB, T5J 0J4</t>
  </si>
  <si>
    <t>1601 Lower Water St, Halifax, NS, B3J 3P6</t>
  </si>
  <si>
    <t>412 Robson St, Vancouver, BC, V6B 2B5</t>
  </si>
  <si>
    <t>892 Bay St, Toronto, ON, M5S 3A5</t>
  </si>
  <si>
    <t>740 Rue Saint-Jean, Quebec City, QC, G1R 1P9</t>
  </si>
  <si>
    <t>1650 Bedford Hwy, Bedford, NS, B4A 1E8</t>
  </si>
  <si>
    <t>10220 Jasper Ave, Edmonton, AB, T5J 4A1</t>
  </si>
  <si>
    <t>550 Rue Sherbrooke W, Montreal, QC, H3A 1B9</t>
  </si>
  <si>
    <t>345 Queen St, Ottawa, ON, K1P 5W5</t>
  </si>
  <si>
    <t>1910 Broad St, Regina, SK, S4P 1Y1</t>
  </si>
  <si>
    <t>444 St Mary Ave, Winnipeg, MB, R3C 3T1</t>
  </si>
  <si>
    <t>251 Water St, St. John's, NL, A1C 5H5</t>
  </si>
  <si>
    <t>1205 Rue Saint-Denis, Montreal, QC, H2X 3J6</t>
  </si>
  <si>
    <t>180 Dundas St W, Toronto, ON, M5G 1Z8</t>
  </si>
  <si>
    <t>1791 Barrington St, Halifax, NS, B3J 3K9</t>
  </si>
  <si>
    <t>808 Nelson St, Vancouver, BC, V6Z 2H2</t>
  </si>
  <si>
    <t>606 4th Street SW, Calgary, AB, T2P 1T1</t>
  </si>
  <si>
    <t>320 Rue Saint-Joseph E, Quebec City, QC, G1K 3B2</t>
  </si>
  <si>
    <t>45 O'Connor St, Ottawa, ON, K1P 1A4</t>
  </si>
  <si>
    <t>280 Portage Ave, Winnipeg, MB, R3C 0B6</t>
  </si>
  <si>
    <t>140 Carleton St, Fredericton, NB, E3B 3T4</t>
  </si>
  <si>
    <t>1088 West Georgia St, Vancouver, BC, V6E 4B8</t>
  </si>
  <si>
    <t>2100 Rue Maisonneuve E, Montreal, QC, H2K 4S1</t>
  </si>
  <si>
    <t>150 King St W, Toronto, ON, M5H 1J9</t>
  </si>
  <si>
    <t>1645 Granville St, Halifax, NS, B3J 1X3</t>
  </si>
  <si>
    <t>10155 102 St NW, Edmonton, AB, T5J 4G8</t>
  </si>
  <si>
    <t>2010 11th Ave, Regina, SK, S4P 0J3</t>
  </si>
  <si>
    <t>880 Chemin Sainte-Foy, Quebec City, QC, G1S 2L1</t>
  </si>
  <si>
    <t>360 Albert St, Ottawa, ON, K1R 7X7</t>
  </si>
  <si>
    <t>388 Portage Ave, Winnipeg, MB, R3C 0C8</t>
  </si>
  <si>
    <t>100 New Gower St, St. John's, NL, A1C 6K3</t>
  </si>
  <si>
    <t>410 Rue Saint-Paul W, Montreal, QC, H2Y 2A6</t>
  </si>
  <si>
    <t>555 Hastings St W, Vancouver, BC, V6B 4N6</t>
  </si>
  <si>
    <t>33 Yonge St, Toronto, ON, M5E 1G4</t>
  </si>
  <si>
    <t>1559 Brunswick St, Halifax, NS, B3J 2G1</t>
  </si>
  <si>
    <t>707 7th Ave SW, Calgary, AB, T2P 0Z2</t>
  </si>
  <si>
    <t>1050 Avenue des Érudits, Quebec City, QC, G1V 0A6</t>
  </si>
  <si>
    <t>275 Slater St, Ottawa, ON, K1P 5H9</t>
  </si>
  <si>
    <t>1661 Portage Ave, Winnipeg, MB, R3J 3T7</t>
  </si>
  <si>
    <t>770 Main St, Moncton, NB, E1C 1E7</t>
  </si>
  <si>
    <t>1055 Dunsmuir St, Vancouver, BC, V7X 1L3</t>
  </si>
  <si>
    <t>1500 Rue University, Montreal, QC, H3A 3S7</t>
  </si>
  <si>
    <t>222 Bay St, Toronto, ON, M5K 1A1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</si>
</sst>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12" x14ac:knownFonts="1">
    <font>
      <sz val="12"/>
      <color theme="1"/>
      <name val="Aptos Narrow"/>
      <family val="2"/>
      <scheme val="minor"/>
    </font>
    <font>
      <b/>
      <sz val="11"/>
      <color rgb="FFFFFFFF"/>
      <name val="Calibri"/>
      <family val="2"/>
    </font>
    <font>
      <sz val="10"/>
      <color rgb="FF000000"/>
      <name val="Arial"/>
      <family val="2"/>
    </font>
    <font>
      <sz val="11"/>
      <color rgb="FF000000"/>
      <name val="Calibri"/>
      <family val="2"/>
    </font>
    <font>
      <sz val="10"/>
      <color rgb="FF434343"/>
      <name val="Roboto"/>
      <charset val="1"/>
    </font>
    <font>
      <sz val="11"/>
      <color rgb="FF000000"/>
      <name val="Calibri"/>
    </font>
    <font>
      <sz val="11"/>
      <color rgb="FF242424"/>
      <name val="Aptos Narrow"/>
      <charset val="1"/>
    </font>
    <font>
      <sz val="11"/>
      <color rgb="FF000000"/>
      <name val="Aptos Narrow"/>
      <family val="2"/>
    </font>
    <font>
      <b/>
      <sz val="12"/>
      <color theme="1"/>
      <name val="Aptos Narrow"/>
      <family val="2"/>
      <scheme val="minor"/>
    </font>
    <font>
      <sz val="10"/>
      <color theme="1"/>
      <name val="Arial"/>
      <charset val="1"/>
    </font>
    <font>
      <b/>
      <sz val="16"/>
      <color theme="1"/>
      <name val="Aptos Narrow"/>
      <family val="2"/>
      <scheme val="minor"/>
    </font>
    <font>
      <sz val="10"/>
      <color theme="1"/>
      <name val="Arial"/>
      <family val="2"/>
    </font>
  </fonts>
  <fills count="7">
    <fill>
      <patternFill patternType="none"/>
    </fill>
    <fill>
      <patternFill patternType="gray125"/>
    </fill>
    <fill>
      <patternFill patternType="solid">
        <fgColor rgb="FF1F4E79"/>
        <bgColor rgb="FF1F4E79"/>
      </patternFill>
    </fill>
    <fill>
      <patternFill patternType="solid">
        <fgColor rgb="FFDCE6F1"/>
        <bgColor rgb="FFDCE6F1"/>
      </patternFill>
    </fill>
    <fill>
      <patternFill patternType="solid">
        <fgColor theme="0"/>
        <bgColor indexed="64"/>
      </patternFill>
    </fill>
    <fill>
      <patternFill patternType="solid">
        <fgColor rgb="FFFFFFFF"/>
        <bgColor rgb="FF000000"/>
      </patternFill>
    </fill>
    <fill>
      <patternFill patternType="solid">
        <fgColor rgb="FFF6F8F9"/>
        <bgColor rgb="FF000000"/>
      </patternFill>
    </fill>
  </fills>
  <borders count="15">
    <border>
      <left/>
      <right/>
      <top/>
      <bottom/>
      <diagonal/>
    </border>
    <border>
      <left/>
      <right style="thin">
        <color rgb="FFA0A0A0"/>
      </right>
      <top/>
      <bottom style="thin">
        <color rgb="FFA0A0A0"/>
      </bottom>
      <diagonal/>
    </border>
    <border>
      <left style="thin">
        <color rgb="FFCCCCCC"/>
      </left>
      <right style="thin">
        <color rgb="FF000000"/>
      </right>
      <top style="thin">
        <color rgb="FFCCCCCC"/>
      </top>
      <bottom style="thin">
        <color rgb="FFFF9900"/>
      </bottom>
      <diagonal/>
    </border>
    <border>
      <left style="thin">
        <color rgb="FF000000"/>
      </left>
      <right style="thin">
        <color rgb="FF000000"/>
      </right>
      <top style="thin">
        <color rgb="FF000000"/>
      </top>
      <bottom style="thin">
        <color rgb="FF000000"/>
      </bottom>
      <diagonal/>
    </border>
    <border>
      <left/>
      <right style="thin">
        <color rgb="FFA0A0A0"/>
      </right>
      <top style="thin">
        <color rgb="FFA0A0A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CCCCCC"/>
      </right>
      <top style="thin">
        <color rgb="FFCCCCCC"/>
      </top>
      <bottom style="thin">
        <color rgb="FF000000"/>
      </bottom>
      <diagonal/>
    </border>
    <border>
      <left style="thin">
        <color rgb="FF000000"/>
      </left>
      <right style="thin">
        <color rgb="FFCCCCCC"/>
      </right>
      <top style="thin">
        <color rgb="FF000000"/>
      </top>
      <bottom style="thin">
        <color rgb="FF000000"/>
      </bottom>
      <diagonal/>
    </border>
    <border>
      <left style="thin">
        <color rgb="FF000000"/>
      </left>
      <right style="thin">
        <color rgb="FFCCCCCC"/>
      </right>
      <top style="thin">
        <color rgb="FF000000"/>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7">
    <xf numFmtId="0" fontId="0" fillId="0" borderId="0" xfId="0"/>
    <xf numFmtId="0" fontId="0" fillId="0" borderId="0" xfId="0" applyAlignment="1">
      <alignment horizontal="center"/>
    </xf>
    <xf numFmtId="0" fontId="3" fillId="3" borderId="1" xfId="0" applyFont="1" applyFill="1" applyBorder="1"/>
    <xf numFmtId="0" fontId="4" fillId="4" borderId="2" xfId="0" applyFont="1" applyFill="1" applyBorder="1" applyAlignment="1">
      <alignment readingOrder="1"/>
    </xf>
    <xf numFmtId="164" fontId="2" fillId="4" borderId="3" xfId="0" applyNumberFormat="1" applyFont="1" applyFill="1" applyBorder="1" applyAlignment="1">
      <alignment horizontal="center"/>
    </xf>
    <xf numFmtId="0" fontId="3" fillId="4" borderId="0" xfId="0" applyFont="1" applyFill="1" applyAlignment="1">
      <alignment wrapText="1"/>
    </xf>
    <xf numFmtId="0" fontId="1" fillId="2" borderId="4" xfId="0" applyFont="1" applyFill="1" applyBorder="1" applyAlignment="1">
      <alignment horizontal="center" vertical="center"/>
    </xf>
    <xf numFmtId="0" fontId="0" fillId="0" borderId="0" xfId="0" applyAlignment="1">
      <alignment horizontal="center" vertical="center"/>
    </xf>
    <xf numFmtId="0" fontId="1" fillId="2" borderId="4" xfId="0" applyFont="1" applyFill="1" applyBorder="1" applyAlignment="1">
      <alignment horizontal="center" vertical="center" wrapText="1"/>
    </xf>
    <xf numFmtId="0" fontId="3" fillId="4" borderId="3" xfId="0" applyFont="1" applyFill="1" applyBorder="1" applyAlignment="1">
      <alignment horizontal="center"/>
    </xf>
    <xf numFmtId="0" fontId="0" fillId="4" borderId="0" xfId="0" applyFill="1" applyAlignment="1">
      <alignment horizontal="center" wrapText="1"/>
    </xf>
    <xf numFmtId="0" fontId="8" fillId="0" borderId="0" xfId="0" applyFont="1" applyAlignment="1">
      <alignment horizontal="center"/>
    </xf>
    <xf numFmtId="164" fontId="3" fillId="4" borderId="3" xfId="0" applyNumberFormat="1" applyFont="1" applyFill="1" applyBorder="1" applyAlignment="1">
      <alignment horizontal="center"/>
    </xf>
    <xf numFmtId="0" fontId="0" fillId="4" borderId="3" xfId="0" applyFill="1" applyBorder="1" applyAlignment="1">
      <alignment horizontal="center"/>
    </xf>
    <xf numFmtId="164" fontId="3" fillId="4" borderId="3" xfId="0" applyNumberFormat="1" applyFont="1" applyFill="1" applyBorder="1" applyAlignment="1">
      <alignment horizontal="center" vertical="center"/>
    </xf>
    <xf numFmtId="0" fontId="0" fillId="4" borderId="0" xfId="0" applyFill="1" applyAlignment="1">
      <alignment horizontal="center" vertical="center"/>
    </xf>
    <xf numFmtId="0" fontId="0" fillId="0" borderId="3" xfId="0" applyBorder="1" applyAlignment="1">
      <alignment horizontal="center"/>
    </xf>
    <xf numFmtId="0" fontId="3" fillId="4" borderId="8" xfId="0" applyFont="1" applyFill="1" applyBorder="1" applyAlignment="1">
      <alignment horizontal="center"/>
    </xf>
    <xf numFmtId="14" fontId="7" fillId="0" borderId="3" xfId="0" applyNumberFormat="1" applyFont="1" applyBorder="1" applyAlignment="1">
      <alignment horizontal="center"/>
    </xf>
    <xf numFmtId="0" fontId="0" fillId="0" borderId="0" xfId="0" applyAlignment="1">
      <alignment horizontal="left"/>
    </xf>
    <xf numFmtId="0" fontId="0" fillId="0" borderId="3" xfId="0" applyBorder="1" applyAlignment="1">
      <alignment horizontal="left"/>
    </xf>
    <xf numFmtId="0" fontId="0" fillId="4" borderId="7" xfId="0" applyFill="1" applyBorder="1" applyAlignment="1">
      <alignment horizontal="center"/>
    </xf>
    <xf numFmtId="0" fontId="0" fillId="4" borderId="0" xfId="0" applyFill="1" applyAlignment="1">
      <alignment horizontal="center"/>
    </xf>
    <xf numFmtId="0" fontId="0" fillId="4" borderId="3" xfId="0" applyFill="1" applyBorder="1" applyAlignment="1">
      <alignment horizontal="left"/>
    </xf>
    <xf numFmtId="0" fontId="0" fillId="4" borderId="7" xfId="0" applyFill="1" applyBorder="1" applyAlignment="1">
      <alignment horizontal="left"/>
    </xf>
    <xf numFmtId="164" fontId="3" fillId="4" borderId="7" xfId="0" applyNumberFormat="1" applyFont="1" applyFill="1" applyBorder="1" applyAlignment="1">
      <alignment horizontal="center"/>
    </xf>
    <xf numFmtId="0" fontId="6" fillId="0" borderId="0" xfId="0" applyFont="1"/>
    <xf numFmtId="0" fontId="6" fillId="0" borderId="3" xfId="0" applyFont="1" applyBorder="1"/>
    <xf numFmtId="164" fontId="3" fillId="4" borderId="5" xfId="0" applyNumberFormat="1" applyFont="1" applyFill="1" applyBorder="1" applyAlignment="1">
      <alignment horizontal="center"/>
    </xf>
    <xf numFmtId="164" fontId="3" fillId="4" borderId="6" xfId="0" applyNumberFormat="1" applyFont="1" applyFill="1" applyBorder="1" applyAlignment="1">
      <alignment horizontal="center" vertical="center"/>
    </xf>
    <xf numFmtId="0" fontId="3" fillId="4" borderId="10" xfId="0" applyFont="1" applyFill="1" applyBorder="1" applyAlignment="1">
      <alignment horizontal="left"/>
    </xf>
    <xf numFmtId="0" fontId="0" fillId="4" borderId="0" xfId="0" applyFill="1" applyAlignment="1">
      <alignment horizontal="left"/>
    </xf>
    <xf numFmtId="0" fontId="0" fillId="0" borderId="7" xfId="0" applyBorder="1" applyAlignment="1">
      <alignment horizontal="left"/>
    </xf>
    <xf numFmtId="0" fontId="0" fillId="0" borderId="7" xfId="0" applyBorder="1" applyAlignment="1">
      <alignment horizontal="center"/>
    </xf>
    <xf numFmtId="0" fontId="4" fillId="5" borderId="3" xfId="0" applyFont="1" applyFill="1" applyBorder="1" applyAlignment="1">
      <alignment readingOrder="1"/>
    </xf>
    <xf numFmtId="0" fontId="4" fillId="6" borderId="3" xfId="0" applyFont="1" applyFill="1" applyBorder="1" applyAlignment="1">
      <alignment readingOrder="1"/>
    </xf>
    <xf numFmtId="0" fontId="4" fillId="6" borderId="3" xfId="0" applyFont="1" applyFill="1" applyBorder="1" applyAlignment="1">
      <alignment wrapText="1" readingOrder="1"/>
    </xf>
    <xf numFmtId="0" fontId="9" fillId="5" borderId="11" xfId="0" applyFont="1" applyFill="1" applyBorder="1" applyAlignment="1">
      <alignment readingOrder="1"/>
    </xf>
    <xf numFmtId="0" fontId="9" fillId="5" borderId="12" xfId="0" applyFont="1" applyFill="1" applyBorder="1" applyAlignment="1">
      <alignment readingOrder="1"/>
    </xf>
    <xf numFmtId="0" fontId="9" fillId="0" borderId="13" xfId="0" applyFont="1" applyBorder="1" applyAlignment="1">
      <alignment readingOrder="1"/>
    </xf>
    <xf numFmtId="0" fontId="5" fillId="4" borderId="8" xfId="0" applyFont="1" applyFill="1" applyBorder="1" applyAlignment="1">
      <alignment horizontal="center"/>
    </xf>
    <xf numFmtId="0" fontId="5" fillId="4" borderId="6" xfId="0" applyFont="1" applyFill="1" applyBorder="1" applyAlignment="1">
      <alignment horizontal="center" wrapText="1"/>
    </xf>
    <xf numFmtId="0" fontId="0" fillId="4" borderId="3" xfId="0" applyFill="1" applyBorder="1" applyAlignment="1">
      <alignment horizontal="center" vertical="center"/>
    </xf>
    <xf numFmtId="0" fontId="0" fillId="0" borderId="5" xfId="0" applyBorder="1" applyAlignment="1">
      <alignment horizontal="center"/>
    </xf>
    <xf numFmtId="0" fontId="5" fillId="4" borderId="3" xfId="0" applyFont="1" applyFill="1" applyBorder="1" applyAlignment="1">
      <alignment horizontal="center"/>
    </xf>
    <xf numFmtId="0" fontId="0" fillId="0" borderId="9" xfId="0" applyBorder="1" applyAlignment="1">
      <alignment horizontal="center"/>
    </xf>
    <xf numFmtId="0" fontId="6" fillId="0" borderId="7" xfId="0" applyFont="1" applyBorder="1"/>
    <xf numFmtId="0" fontId="0" fillId="0" borderId="6" xfId="0" applyBorder="1" applyAlignment="1">
      <alignment horizontal="left"/>
    </xf>
    <xf numFmtId="0" fontId="0" fillId="4" borderId="7" xfId="0" applyFill="1" applyBorder="1" applyAlignment="1">
      <alignment horizontal="center" vertical="center"/>
    </xf>
    <xf numFmtId="0" fontId="5" fillId="4" borderId="0" xfId="0" applyFont="1" applyFill="1" applyAlignment="1">
      <alignment horizontal="center"/>
    </xf>
    <xf numFmtId="0" fontId="0" fillId="0" borderId="10" xfId="0" applyBorder="1" applyAlignment="1">
      <alignment horizontal="left"/>
    </xf>
    <xf numFmtId="164" fontId="10" fillId="0" borderId="3" xfId="0" applyNumberFormat="1" applyFont="1" applyBorder="1" applyAlignment="1">
      <alignment horizontal="center"/>
    </xf>
    <xf numFmtId="164" fontId="2" fillId="4" borderId="7" xfId="0" applyNumberFormat="1" applyFont="1" applyFill="1" applyBorder="1" applyAlignment="1">
      <alignment horizontal="center"/>
    </xf>
    <xf numFmtId="0" fontId="3" fillId="0" borderId="8" xfId="0" applyFont="1" applyBorder="1" applyAlignment="1">
      <alignment horizontal="center"/>
    </xf>
    <xf numFmtId="0" fontId="3" fillId="0" borderId="6" xfId="0" applyFont="1" applyBorder="1" applyAlignment="1">
      <alignment horizontal="center" wrapText="1"/>
    </xf>
    <xf numFmtId="0" fontId="3" fillId="0" borderId="6" xfId="0" applyFont="1" applyBorder="1" applyAlignment="1">
      <alignment horizontal="center"/>
    </xf>
    <xf numFmtId="0" fontId="3" fillId="0" borderId="3" xfId="0" applyFont="1" applyBorder="1" applyAlignment="1">
      <alignment horizontal="center"/>
    </xf>
    <xf numFmtId="164" fontId="3" fillId="0" borderId="5" xfId="0" applyNumberFormat="1" applyFont="1" applyBorder="1" applyAlignment="1">
      <alignment horizontal="center"/>
    </xf>
    <xf numFmtId="164" fontId="3" fillId="0" borderId="6" xfId="0" applyNumberFormat="1" applyFont="1" applyBorder="1" applyAlignment="1">
      <alignment horizontal="center" vertical="center"/>
    </xf>
    <xf numFmtId="164" fontId="3" fillId="0" borderId="3" xfId="0" applyNumberFormat="1" applyFont="1" applyBorder="1" applyAlignment="1">
      <alignment horizontal="center"/>
    </xf>
    <xf numFmtId="164" fontId="2" fillId="0" borderId="3" xfId="0" applyNumberFormat="1" applyFont="1" applyBorder="1" applyAlignment="1">
      <alignment horizontal="center"/>
    </xf>
    <xf numFmtId="0" fontId="5" fillId="0" borderId="6" xfId="0" applyFont="1" applyBorder="1" applyAlignment="1">
      <alignment horizontal="center" wrapText="1"/>
    </xf>
    <xf numFmtId="164" fontId="3" fillId="0" borderId="3" xfId="0" applyNumberFormat="1" applyFont="1" applyBorder="1" applyAlignment="1">
      <alignment horizontal="center" vertical="center"/>
    </xf>
    <xf numFmtId="0" fontId="0" fillId="0" borderId="0" xfId="0" applyAlignment="1">
      <alignment vertical="center"/>
    </xf>
    <xf numFmtId="0" fontId="5" fillId="0" borderId="8" xfId="0" applyFont="1" applyBorder="1" applyAlignment="1">
      <alignment horizontal="center"/>
    </xf>
    <xf numFmtId="0" fontId="11" fillId="0" borderId="14" xfId="0" applyFont="1" applyBorder="1" applyAlignment="1">
      <alignment wrapText="1"/>
    </xf>
    <xf numFmtId="0" fontId="11" fillId="0" borderId="14" xfId="0" applyFont="1" applyBorder="1" applyAlignment="1">
      <alignment vertical="center"/>
    </xf>
  </cellXfs>
  <cellStyles count="1">
    <cellStyle name="Normal" xfId="0" builtinId="0"/>
  </cellStyles>
  <dxfs count="3">
    <dxf>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000000"/>
        </left>
        <right style="thin">
          <color rgb="FFCCCCCC"/>
        </right>
        <top style="thin">
          <color rgb="FFCCCCCC"/>
        </top>
        <bottom/>
        <vertical/>
        <horizontal/>
      </border>
    </dxf>
    <dxf>
      <border outline="0">
        <bottom style="thin">
          <color rgb="FF000000"/>
        </bottom>
      </border>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327091-FA30-495E-916B-72292FB6D50E}" name="Table1" displayName="Table1" ref="A2:B46" totalsRowShown="0" tableBorderDxfId="2">
  <autoFilter ref="A2:B46" xr:uid="{AF327091-FA30-495E-916B-72292FB6D50E}"/>
  <tableColumns count="2">
    <tableColumn id="1" xr3:uid="{BC2F5775-4F4C-4B24-B4A0-8B7F0A3C6D78}" name="TRUE" dataDxfId="1"/>
    <tableColumn id="2" xr3:uid="{0EC82CB3-651E-4841-8AF3-248A2B2A1E60}" name="VF"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986B671-E883-43E5-975E-B5B18C14C656}">
  <we:reference id="WA200005502" version="1.0.0.12" store="en-US" storeType="omex"/>
  <we:alternateReferences>
    <we:reference id="WA200005502" version="1.0.0.12" store="en-US" storeType="omex"/>
  </we:alternateReferences>
  <we:properties>
    <we:property name="docId" value="&quot;w-AKP9TTjTW2ThLuiRKwk&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8E32-C387-4AEE-9F73-79883B299002}">
  <dimension ref="A2:K46"/>
  <sheetViews>
    <sheetView workbookViewId="0">
      <selection activeCell="C9" sqref="C9"/>
    </sheetView>
  </sheetViews>
  <sheetFormatPr defaultRowHeight="16" x14ac:dyDescent="0.4"/>
  <cols>
    <col min="1" max="1" width="19.83203125" customWidth="1"/>
    <col min="2" max="2" width="23.25" customWidth="1"/>
    <col min="3" max="3" width="22.5" customWidth="1"/>
    <col min="4" max="4" width="10.33203125" bestFit="1" customWidth="1"/>
    <col min="5" max="5" width="16.75" bestFit="1" customWidth="1"/>
  </cols>
  <sheetData>
    <row r="2" spans="1:11" x14ac:dyDescent="0.4">
      <c r="A2" s="26" t="s">
        <v>0</v>
      </c>
      <c r="B2" t="s">
        <v>1</v>
      </c>
      <c r="C2" s="2" t="s">
        <v>2</v>
      </c>
      <c r="D2">
        <v>280</v>
      </c>
      <c r="J2" s="26" t="b">
        <v>1</v>
      </c>
      <c r="K2">
        <v>100</v>
      </c>
    </row>
    <row r="3" spans="1:11" x14ac:dyDescent="0.4">
      <c r="A3" s="30" t="b">
        <v>0</v>
      </c>
      <c r="B3" t="s">
        <v>3</v>
      </c>
      <c r="C3" s="2" t="s">
        <v>4</v>
      </c>
      <c r="D3">
        <v>340</v>
      </c>
      <c r="I3" t="str">
        <f>IF(H3="fibre 150mb/300mb",'worksheet '!G12,IF(H3="Fibre 500mb/650mb",TRUE,IF(H3="Fibre 1gig/2.5gig",TRUE,"")))</f>
        <v/>
      </c>
      <c r="J3" s="2" t="b">
        <v>0</v>
      </c>
      <c r="K3">
        <v>0</v>
      </c>
    </row>
    <row r="4" spans="1:11" x14ac:dyDescent="0.4">
      <c r="C4" s="2" t="s">
        <v>5</v>
      </c>
      <c r="D4">
        <v>350</v>
      </c>
    </row>
    <row r="5" spans="1:11" x14ac:dyDescent="0.4">
      <c r="A5" s="34" t="s">
        <v>6</v>
      </c>
      <c r="B5" s="34" t="s">
        <v>7</v>
      </c>
      <c r="C5" s="2" t="s">
        <v>8</v>
      </c>
      <c r="D5">
        <v>380</v>
      </c>
    </row>
    <row r="6" spans="1:11" x14ac:dyDescent="0.4">
      <c r="A6" s="35" t="s">
        <v>9</v>
      </c>
      <c r="B6" s="35" t="s">
        <v>10</v>
      </c>
      <c r="C6" s="2" t="s">
        <v>11</v>
      </c>
      <c r="D6">
        <v>380</v>
      </c>
    </row>
    <row r="7" spans="1:11" x14ac:dyDescent="0.4">
      <c r="A7" s="34" t="s">
        <v>12</v>
      </c>
      <c r="B7" s="34" t="s">
        <v>13</v>
      </c>
      <c r="C7" s="2" t="s">
        <v>14</v>
      </c>
      <c r="D7">
        <v>400</v>
      </c>
    </row>
    <row r="8" spans="1:11" ht="15" customHeight="1" x14ac:dyDescent="0.4">
      <c r="A8" s="35" t="s">
        <v>15</v>
      </c>
      <c r="B8" s="36" t="s">
        <v>16</v>
      </c>
      <c r="C8" s="2" t="s">
        <v>17</v>
      </c>
      <c r="D8">
        <v>450</v>
      </c>
      <c r="G8" s="5"/>
      <c r="H8" s="5"/>
    </row>
    <row r="9" spans="1:11" x14ac:dyDescent="0.4">
      <c r="A9" s="34" t="s">
        <v>18</v>
      </c>
      <c r="B9" s="34" t="s">
        <v>19</v>
      </c>
      <c r="C9" s="2" t="s">
        <v>20</v>
      </c>
      <c r="D9">
        <v>365</v>
      </c>
      <c r="G9" s="5"/>
      <c r="H9" s="5"/>
    </row>
    <row r="10" spans="1:11" x14ac:dyDescent="0.4">
      <c r="A10" s="35" t="s">
        <v>21</v>
      </c>
      <c r="B10" s="35" t="s">
        <v>22</v>
      </c>
    </row>
    <row r="11" spans="1:11" x14ac:dyDescent="0.4">
      <c r="A11" s="34" t="s">
        <v>23</v>
      </c>
      <c r="B11" s="34" t="s">
        <v>24</v>
      </c>
    </row>
    <row r="12" spans="1:11" x14ac:dyDescent="0.4">
      <c r="A12" s="35" t="s">
        <v>25</v>
      </c>
      <c r="B12" s="35" t="s">
        <v>26</v>
      </c>
    </row>
    <row r="13" spans="1:11" x14ac:dyDescent="0.4">
      <c r="A13" s="34" t="s">
        <v>27</v>
      </c>
      <c r="B13" s="34" t="s">
        <v>28</v>
      </c>
    </row>
    <row r="14" spans="1:11" x14ac:dyDescent="0.4">
      <c r="A14" s="35" t="s">
        <v>29</v>
      </c>
      <c r="B14" s="35" t="s">
        <v>30</v>
      </c>
    </row>
    <row r="15" spans="1:11" x14ac:dyDescent="0.4">
      <c r="A15" s="34" t="s">
        <v>31</v>
      </c>
      <c r="B15" s="34" t="s">
        <v>32</v>
      </c>
    </row>
    <row r="16" spans="1:11" x14ac:dyDescent="0.4">
      <c r="A16" s="35" t="s">
        <v>33</v>
      </c>
      <c r="B16" s="35" t="s">
        <v>34</v>
      </c>
    </row>
    <row r="17" spans="1:3" x14ac:dyDescent="0.4">
      <c r="A17" s="34" t="s">
        <v>35</v>
      </c>
      <c r="B17" s="34" t="s">
        <v>36</v>
      </c>
    </row>
    <row r="18" spans="1:3" x14ac:dyDescent="0.4">
      <c r="A18" s="35" t="s">
        <v>37</v>
      </c>
      <c r="B18" s="35" t="s">
        <v>38</v>
      </c>
    </row>
    <row r="19" spans="1:3" x14ac:dyDescent="0.4">
      <c r="A19" s="35" t="s">
        <v>39</v>
      </c>
      <c r="B19" s="35" t="s">
        <v>40</v>
      </c>
      <c r="C19" s="3"/>
    </row>
    <row r="20" spans="1:3" x14ac:dyDescent="0.4">
      <c r="A20" s="34" t="s">
        <v>41</v>
      </c>
      <c r="B20" s="35" t="s">
        <v>42</v>
      </c>
    </row>
    <row r="21" spans="1:3" x14ac:dyDescent="0.4">
      <c r="A21" s="34" t="s">
        <v>43</v>
      </c>
      <c r="B21" s="35" t="s">
        <v>44</v>
      </c>
    </row>
    <row r="22" spans="1:3" x14ac:dyDescent="0.4">
      <c r="A22" s="34" t="s">
        <v>45</v>
      </c>
      <c r="B22" s="35" t="s">
        <v>46</v>
      </c>
    </row>
    <row r="23" spans="1:3" x14ac:dyDescent="0.4">
      <c r="A23" s="34" t="s">
        <v>47</v>
      </c>
      <c r="B23" s="35" t="s">
        <v>48</v>
      </c>
    </row>
    <row r="24" spans="1:3" x14ac:dyDescent="0.4">
      <c r="A24" s="34" t="s">
        <v>49</v>
      </c>
      <c r="B24" s="35" t="s">
        <v>50</v>
      </c>
    </row>
    <row r="25" spans="1:3" x14ac:dyDescent="0.4">
      <c r="A25" s="34" t="s">
        <v>51</v>
      </c>
      <c r="B25" s="35" t="s">
        <v>52</v>
      </c>
    </row>
    <row r="26" spans="1:3" x14ac:dyDescent="0.4">
      <c r="A26" s="34" t="s">
        <v>53</v>
      </c>
      <c r="B26" s="35" t="s">
        <v>54</v>
      </c>
    </row>
    <row r="27" spans="1:3" x14ac:dyDescent="0.4">
      <c r="A27" s="34" t="s">
        <v>55</v>
      </c>
      <c r="B27" s="35" t="s">
        <v>56</v>
      </c>
    </row>
    <row r="28" spans="1:3" x14ac:dyDescent="0.4">
      <c r="A28" s="34" t="s">
        <v>57</v>
      </c>
      <c r="B28" s="35" t="s">
        <v>58</v>
      </c>
    </row>
    <row r="29" spans="1:3" x14ac:dyDescent="0.4">
      <c r="A29" s="34" t="s">
        <v>59</v>
      </c>
      <c r="B29" s="35" t="s">
        <v>60</v>
      </c>
    </row>
    <row r="30" spans="1:3" x14ac:dyDescent="0.4">
      <c r="A30" s="34" t="s">
        <v>61</v>
      </c>
      <c r="B30" s="35" t="s">
        <v>62</v>
      </c>
    </row>
    <row r="31" spans="1:3" x14ac:dyDescent="0.4">
      <c r="A31" s="34" t="s">
        <v>63</v>
      </c>
      <c r="B31" s="35" t="s">
        <v>64</v>
      </c>
    </row>
    <row r="32" spans="1:3" x14ac:dyDescent="0.4">
      <c r="A32" s="34" t="s">
        <v>65</v>
      </c>
      <c r="B32" s="35" t="s">
        <v>66</v>
      </c>
    </row>
    <row r="33" spans="1:2" x14ac:dyDescent="0.4">
      <c r="A33" s="37" t="s">
        <v>67</v>
      </c>
      <c r="B33" s="35" t="s">
        <v>68</v>
      </c>
    </row>
    <row r="34" spans="1:2" x14ac:dyDescent="0.4">
      <c r="A34" s="38" t="s">
        <v>69</v>
      </c>
      <c r="B34" s="35" t="s">
        <v>70</v>
      </c>
    </row>
    <row r="35" spans="1:2" x14ac:dyDescent="0.4">
      <c r="A35" s="38" t="s">
        <v>71</v>
      </c>
      <c r="B35" s="35" t="s">
        <v>72</v>
      </c>
    </row>
    <row r="36" spans="1:2" x14ac:dyDescent="0.4">
      <c r="A36" s="38" t="s">
        <v>73</v>
      </c>
      <c r="B36" s="35" t="s">
        <v>74</v>
      </c>
    </row>
    <row r="37" spans="1:2" x14ac:dyDescent="0.4">
      <c r="A37" s="38" t="s">
        <v>75</v>
      </c>
      <c r="B37" s="35" t="s">
        <v>76</v>
      </c>
    </row>
    <row r="38" spans="1:2" x14ac:dyDescent="0.4">
      <c r="A38" s="38" t="s">
        <v>77</v>
      </c>
      <c r="B38" s="35" t="s">
        <v>78</v>
      </c>
    </row>
    <row r="39" spans="1:2" x14ac:dyDescent="0.4">
      <c r="A39" s="38" t="s">
        <v>79</v>
      </c>
      <c r="B39" s="35" t="s">
        <v>80</v>
      </c>
    </row>
    <row r="40" spans="1:2" x14ac:dyDescent="0.4">
      <c r="A40" s="38" t="s">
        <v>81</v>
      </c>
      <c r="B40" s="35" t="s">
        <v>82</v>
      </c>
    </row>
    <row r="41" spans="1:2" x14ac:dyDescent="0.4">
      <c r="A41" s="38" t="s">
        <v>83</v>
      </c>
      <c r="B41" s="35" t="s">
        <v>84</v>
      </c>
    </row>
    <row r="42" spans="1:2" x14ac:dyDescent="0.4">
      <c r="A42" s="38" t="s">
        <v>85</v>
      </c>
      <c r="B42" s="35" t="s">
        <v>86</v>
      </c>
    </row>
    <row r="43" spans="1:2" x14ac:dyDescent="0.4">
      <c r="A43" s="38" t="s">
        <v>87</v>
      </c>
      <c r="B43" s="35" t="s">
        <v>88</v>
      </c>
    </row>
    <row r="44" spans="1:2" x14ac:dyDescent="0.4">
      <c r="A44" s="38" t="s">
        <v>89</v>
      </c>
      <c r="B44" s="35" t="s">
        <v>90</v>
      </c>
    </row>
    <row r="45" spans="1:2" x14ac:dyDescent="0.4">
      <c r="A45" s="38" t="s">
        <v>91</v>
      </c>
      <c r="B45" s="38" t="s">
        <v>92</v>
      </c>
    </row>
    <row r="46" spans="1:2" x14ac:dyDescent="0.4">
      <c r="A46" s="39" t="s">
        <v>93</v>
      </c>
      <c r="B46" s="38" t="s">
        <v>94</v>
      </c>
    </row>
  </sheetData>
  <dataValidations count="2">
    <dataValidation type="list" allowBlank="1" showInputMessage="1" showErrorMessage="1" sqref="J3 A3" xr:uid="{6B3D6382-949D-4AAC-BF00-14AB398A9490}">
      <formula1>$A$2:$A$3</formula1>
    </dataValidation>
    <dataValidation allowBlank="1" showInputMessage="1" showErrorMessage="1" sqref="G8:H9" xr:uid="{C74BB2CE-3A07-4E1F-BD7C-AD9578485363}"/>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FA563-21A6-654D-BA18-F2520DF94993}">
  <dimension ref="A1:R273"/>
  <sheetViews>
    <sheetView tabSelected="1" workbookViewId="0">
      <pane ySplit="2" topLeftCell="A3" activePane="bottomLeft" state="frozen"/>
      <selection pane="bottomLeft" activeCell="O62" sqref="O62"/>
    </sheetView>
  </sheetViews>
  <sheetFormatPr defaultColWidth="9" defaultRowHeight="15.75" customHeight="1" x14ac:dyDescent="0.4"/>
  <cols>
    <col min="1" max="1" width="19.75" style="15" customWidth="1"/>
    <col min="2" max="2" width="13.33203125" style="1" customWidth="1"/>
    <col min="3" max="3" width="19.58203125" style="1" customWidth="1"/>
    <col min="4" max="4" width="13.08203125" style="19" customWidth="1"/>
    <col min="5" max="5" width="18.25" style="1" customWidth="1"/>
    <col min="6" max="6" width="38.83203125" style="31" customWidth="1"/>
    <col min="7" max="7" width="7" style="1" customWidth="1"/>
    <col min="8" max="8" width="21.75" style="44" customWidth="1"/>
    <col min="9" max="9" width="9.5" style="1" customWidth="1"/>
    <col min="10" max="10" width="12.58203125" style="22" customWidth="1"/>
    <col min="11" max="11" width="12.58203125" style="1" customWidth="1"/>
    <col min="12" max="12" width="17.83203125" style="7" customWidth="1"/>
    <col min="13" max="14" width="9.58203125" style="1" customWidth="1"/>
    <col min="15" max="15" width="13.75" style="1" customWidth="1"/>
    <col min="16" max="16" width="19.08203125" style="1" customWidth="1"/>
    <col min="17" max="17" width="11.08203125" style="1" customWidth="1"/>
    <col min="18" max="18" width="11"/>
    <col min="19" max="19" width="11.33203125" bestFit="1" customWidth="1"/>
  </cols>
  <sheetData>
    <row r="1" spans="1:18" ht="15.75" customHeight="1" x14ac:dyDescent="0.4">
      <c r="F1" s="19"/>
      <c r="H1" s="1"/>
      <c r="I1" s="10">
        <f>COUNTIF(I2:I77,TRUE)</f>
        <v>56</v>
      </c>
      <c r="J1" s="10">
        <f>COUNTIF(J2:J77,TRUE)</f>
        <v>13</v>
      </c>
      <c r="K1" s="10">
        <f>COUNTIF(K2:K77,TRUE)</f>
        <v>9</v>
      </c>
      <c r="L1" s="11">
        <f>SUBTOTAL(9,L3:L77)</f>
        <v>19600</v>
      </c>
      <c r="M1" s="11">
        <f>SUBTOTAL(9,M3:M77)</f>
        <v>650</v>
      </c>
      <c r="N1" s="11">
        <f>SUBTOTAL(9,N3:N77)</f>
        <v>450</v>
      </c>
      <c r="O1" s="11">
        <f>SUBTOTAL(9,O3:O77)</f>
        <v>0</v>
      </c>
      <c r="P1" s="11">
        <f>SUBTOTAL(9,P3:P77)</f>
        <v>1680</v>
      </c>
      <c r="Q1" s="11">
        <f>SUBTOTAL(9,Q3:Q77)</f>
        <v>22380</v>
      </c>
      <c r="R1" s="1"/>
    </row>
    <row r="2" spans="1:18" s="7" customFormat="1" ht="37.5" customHeight="1" thickBot="1" x14ac:dyDescent="0.45">
      <c r="A2" s="6" t="s">
        <v>95</v>
      </c>
      <c r="B2" s="6" t="s">
        <v>96</v>
      </c>
      <c r="C2" s="6" t="s">
        <v>97</v>
      </c>
      <c r="D2" s="8" t="s">
        <v>98</v>
      </c>
      <c r="E2" s="8" t="s">
        <v>99</v>
      </c>
      <c r="F2" s="6" t="s">
        <v>100</v>
      </c>
      <c r="G2" s="6" t="s">
        <v>101</v>
      </c>
      <c r="H2" s="6" t="s">
        <v>102</v>
      </c>
      <c r="I2" s="6" t="s">
        <v>103</v>
      </c>
      <c r="J2" s="6" t="s">
        <v>104</v>
      </c>
      <c r="K2" s="6" t="s">
        <v>105</v>
      </c>
      <c r="L2" s="6" t="s">
        <v>106</v>
      </c>
      <c r="M2" s="6" t="s">
        <v>107</v>
      </c>
      <c r="N2" s="6" t="s">
        <v>108</v>
      </c>
      <c r="O2" s="6" t="s">
        <v>109</v>
      </c>
      <c r="P2" s="8" t="s">
        <v>110</v>
      </c>
      <c r="Q2" s="6" t="s">
        <v>111</v>
      </c>
    </row>
    <row r="3" spans="1:18" ht="15" customHeight="1" thickBot="1" x14ac:dyDescent="0.45">
      <c r="A3" s="18">
        <v>46202</v>
      </c>
      <c r="B3" s="53" t="s">
        <v>39</v>
      </c>
      <c r="C3" s="54" t="str" cm="1">
        <f t="array" ref="C3">_xlfn.XLOOKUP(B3,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Atikur Rahman</v>
      </c>
      <c r="D3" s="65" t="s">
        <v>128</v>
      </c>
      <c r="E3" s="65" t="s">
        <v>172</v>
      </c>
      <c r="F3" s="66" t="s">
        <v>212</v>
      </c>
      <c r="G3" s="55" t="s">
        <v>1</v>
      </c>
      <c r="H3" s="56" t="s">
        <v>2</v>
      </c>
      <c r="I3" s="57" t="b">
        <f>IF(TRIM(H3)="Fibre 150mb/300mb",TRUE,IF(TRIM(H3)="Fibre 500mb/650mb",TRUE,IF(OR(TRIM(H3)="Fibre 1gig/2.5gig",TRIM(H3)="RF Fibre 1gig/2.5gig"),TRUE,IF(TRIM(H3)="WI Internet 25/5",TRUE,IF(TRIM(H3)="WI Internet 50/10",TRUE,IF(TRIM(H3)="Business Internet 150",TRUE,IF(TRIM(H3)="Business Internet 500/1gig",TRUE,"")))))))</f>
        <v>1</v>
      </c>
      <c r="J3" s="27" t="b">
        <v>0</v>
      </c>
      <c r="K3" s="27" t="b">
        <v>0</v>
      </c>
      <c r="L3" s="58">
        <v>350</v>
      </c>
      <c r="M3" s="59">
        <f>IF(J3,50,0)</f>
        <v>0</v>
      </c>
      <c r="N3" s="59">
        <f>IF(K3,50,0)</f>
        <v>0</v>
      </c>
      <c r="O3" s="59">
        <f>IF(AND(I3=TRUE,J3=TRUE,K3=TRUE),0,0)</f>
        <v>0</v>
      </c>
      <c r="P3" s="59">
        <v>30</v>
      </c>
      <c r="Q3" s="60">
        <f>SUM(L3:P3)</f>
        <v>380</v>
      </c>
    </row>
    <row r="4" spans="1:18" ht="20.25" customHeight="1" thickBot="1" x14ac:dyDescent="0.45">
      <c r="A4" s="18">
        <v>46202</v>
      </c>
      <c r="B4" s="53" t="s">
        <v>23</v>
      </c>
      <c r="C4" s="54" t="str" cm="1">
        <f t="array" ref="C4">_xlfn.XLOOKUP(B4,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Md Rafiqul Islam</v>
      </c>
      <c r="D4" s="65" t="s">
        <v>129</v>
      </c>
      <c r="E4" s="65" t="s">
        <v>173</v>
      </c>
      <c r="F4" s="66" t="s">
        <v>213</v>
      </c>
      <c r="G4" s="55" t="s">
        <v>1</v>
      </c>
      <c r="H4" s="56" t="s">
        <v>5</v>
      </c>
      <c r="I4" s="57" t="b">
        <f t="shared" ref="I4:I58" si="0">IF(TRIM(H4)="Fibre 150mb/300mb",TRUE,IF(TRIM(H4)="Fibre 500mb/650mb",TRUE,IF(OR(TRIM(H4)="Fibre 1gig/2.5gig",TRIM(H4)="RF Fibre 1gig/2.5gig"),TRUE,IF(TRIM(H4)="WI Internet 25/5",TRUE,IF(TRIM(H4)="WI Internet 50/10",TRUE,IF(TRIM(H4)="Business Internet 150",TRUE,IF(TRIM(H4)="Business Internet 500/1gig",TRUE,"")))))))</f>
        <v>1</v>
      </c>
      <c r="J4" s="27" t="b">
        <v>0</v>
      </c>
      <c r="K4" s="27" t="b">
        <v>0</v>
      </c>
      <c r="L4" s="58">
        <f t="shared" ref="L4:L58" si="1">IF(COUNTIF(H4,"Fibre 150mb/300mb*"),280,IF(COUNTIF(H4,"Fibre 500mb/650mb*"),340,IF(COUNTIF(H4,"RF Fibre 1gig/2.5gig*"),365,IF(COUNTIF(H4,"Fibre 1gig/2.5gig*"),350,IF(COUNTIF(H4,"WI Internet 25/5*"),380,IF(COUNTIF(H4,"WI Internet 50/10*"),380,IF(COUNTIF(H4,"Business Internet 150*"),400,IF(COUNTIF(H4,"Business Internet 500/1gig*"),450,""))))))))</f>
        <v>350</v>
      </c>
      <c r="M4" s="59">
        <f t="shared" ref="M4:M57" si="2">IF(J4,50,0)</f>
        <v>0</v>
      </c>
      <c r="N4" s="59">
        <f>IF(K4,50,0)</f>
        <v>0</v>
      </c>
      <c r="O4" s="59">
        <f>IF(AND(I4=TRUE,J4=TRUE,K4=TRUE),35,0)</f>
        <v>0</v>
      </c>
      <c r="P4" s="59">
        <v>30</v>
      </c>
      <c r="Q4" s="60">
        <f t="shared" ref="Q4:Q58" si="3">SUM(L4:P4)</f>
        <v>380</v>
      </c>
    </row>
    <row r="5" spans="1:18" ht="15.75" customHeight="1" thickBot="1" x14ac:dyDescent="0.45">
      <c r="A5" s="18">
        <v>46202</v>
      </c>
      <c r="B5" s="53" t="s">
        <v>21</v>
      </c>
      <c r="C5" s="54" t="str" cm="1">
        <f t="array" ref="C5">_xlfn.XLOOKUP(B5,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Arifur Rahman</v>
      </c>
      <c r="D5" s="65" t="s">
        <v>130</v>
      </c>
      <c r="E5" s="65" t="s">
        <v>174</v>
      </c>
      <c r="F5" s="66" t="s">
        <v>214</v>
      </c>
      <c r="G5" s="55" t="s">
        <v>1</v>
      </c>
      <c r="H5" s="56" t="s">
        <v>5</v>
      </c>
      <c r="I5" s="57" t="b">
        <f t="shared" si="0"/>
        <v>1</v>
      </c>
      <c r="J5" s="27" t="b">
        <v>1</v>
      </c>
      <c r="K5" s="27" t="b">
        <v>0</v>
      </c>
      <c r="L5" s="58">
        <f t="shared" si="1"/>
        <v>350</v>
      </c>
      <c r="M5" s="59">
        <f t="shared" si="2"/>
        <v>50</v>
      </c>
      <c r="N5" s="59">
        <f t="shared" ref="N5:N57" si="4">IF(K5,50,0)</f>
        <v>0</v>
      </c>
      <c r="O5" s="59">
        <f>IF(AND(I5=TRUE,J5=TRUE,K5=TRUE),0,0)</f>
        <v>0</v>
      </c>
      <c r="P5" s="59">
        <v>30</v>
      </c>
      <c r="Q5" s="60">
        <f t="shared" si="3"/>
        <v>430</v>
      </c>
    </row>
    <row r="6" spans="1:18" ht="16.5" thickBot="1" x14ac:dyDescent="0.45">
      <c r="A6" s="18">
        <v>46202</v>
      </c>
      <c r="B6" s="53" t="s">
        <v>39</v>
      </c>
      <c r="C6" s="54" t="str" cm="1">
        <f t="array" ref="C6">_xlfn.XLOOKUP(B6,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Atikur Rahman</v>
      </c>
      <c r="D6" s="65" t="s">
        <v>131</v>
      </c>
      <c r="E6" s="65" t="s">
        <v>175</v>
      </c>
      <c r="F6" s="66" t="s">
        <v>215</v>
      </c>
      <c r="G6" s="55" t="s">
        <v>1</v>
      </c>
      <c r="H6" s="56" t="s">
        <v>2</v>
      </c>
      <c r="I6" s="57" t="b">
        <f t="shared" si="0"/>
        <v>1</v>
      </c>
      <c r="J6" s="27" t="b">
        <v>1</v>
      </c>
      <c r="K6" s="27" t="b">
        <v>1</v>
      </c>
      <c r="L6" s="58">
        <v>350</v>
      </c>
      <c r="M6" s="59">
        <f t="shared" si="2"/>
        <v>50</v>
      </c>
      <c r="N6" s="59">
        <f t="shared" si="4"/>
        <v>50</v>
      </c>
      <c r="O6" s="59">
        <f t="shared" ref="O6:O29" si="5">IF(AND(I6=TRUE,J6=TRUE,K6=TRUE),0,0)</f>
        <v>0</v>
      </c>
      <c r="P6" s="59">
        <v>30</v>
      </c>
      <c r="Q6" s="60">
        <f t="shared" si="3"/>
        <v>480</v>
      </c>
    </row>
    <row r="7" spans="1:18" ht="19.5" customHeight="1" thickBot="1" x14ac:dyDescent="0.45">
      <c r="A7" s="18">
        <v>46202</v>
      </c>
      <c r="B7" s="53" t="s">
        <v>41</v>
      </c>
      <c r="C7" s="54" t="str" cm="1">
        <f t="array" ref="C7">_xlfn.XLOOKUP(B7,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Mir Adil Mahmud</v>
      </c>
      <c r="D7" s="65" t="s">
        <v>132</v>
      </c>
      <c r="E7" s="65" t="s">
        <v>176</v>
      </c>
      <c r="F7" s="66" t="s">
        <v>216</v>
      </c>
      <c r="G7" s="55" t="s">
        <v>1</v>
      </c>
      <c r="H7" s="56" t="s">
        <v>5</v>
      </c>
      <c r="I7" s="57" t="b">
        <f t="shared" si="0"/>
        <v>1</v>
      </c>
      <c r="J7" s="27" t="b">
        <v>0</v>
      </c>
      <c r="K7" s="27" t="b">
        <v>0</v>
      </c>
      <c r="L7" s="58">
        <f t="shared" si="1"/>
        <v>350</v>
      </c>
      <c r="M7" s="59">
        <f t="shared" si="2"/>
        <v>0</v>
      </c>
      <c r="N7" s="59">
        <f t="shared" si="4"/>
        <v>0</v>
      </c>
      <c r="O7" s="59">
        <f t="shared" si="5"/>
        <v>0</v>
      </c>
      <c r="P7" s="59">
        <v>30</v>
      </c>
      <c r="Q7" s="60">
        <f t="shared" si="3"/>
        <v>380</v>
      </c>
    </row>
    <row r="8" spans="1:18" ht="16.5" thickBot="1" x14ac:dyDescent="0.45">
      <c r="A8" s="18">
        <v>46202</v>
      </c>
      <c r="B8" s="53" t="s">
        <v>43</v>
      </c>
      <c r="C8" s="54" t="str" cm="1">
        <f t="array" ref="C8">_xlfn.XLOOKUP(B8,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Md Jubair Hossain</v>
      </c>
      <c r="D8" s="65" t="s">
        <v>133</v>
      </c>
      <c r="E8" s="65" t="s">
        <v>177</v>
      </c>
      <c r="F8" s="66" t="s">
        <v>217</v>
      </c>
      <c r="G8" s="55" t="s">
        <v>1</v>
      </c>
      <c r="H8" s="56" t="s">
        <v>5</v>
      </c>
      <c r="I8" s="57" t="b">
        <f t="shared" si="0"/>
        <v>1</v>
      </c>
      <c r="J8" s="27" t="b">
        <v>0</v>
      </c>
      <c r="K8" s="27" t="b">
        <v>0</v>
      </c>
      <c r="L8" s="58">
        <f t="shared" si="1"/>
        <v>350</v>
      </c>
      <c r="M8" s="59">
        <f t="shared" si="2"/>
        <v>0</v>
      </c>
      <c r="N8" s="59">
        <f t="shared" si="4"/>
        <v>0</v>
      </c>
      <c r="O8" s="59">
        <f t="shared" si="5"/>
        <v>0</v>
      </c>
      <c r="P8" s="59">
        <v>30</v>
      </c>
      <c r="Q8" s="60">
        <f t="shared" si="3"/>
        <v>380</v>
      </c>
    </row>
    <row r="9" spans="1:18" ht="16.5" thickBot="1" x14ac:dyDescent="0.45">
      <c r="A9" s="18">
        <v>46202</v>
      </c>
      <c r="B9" s="53" t="s">
        <v>37</v>
      </c>
      <c r="C9" s="54" t="str" cm="1">
        <f t="array" ref="C9">_xlfn.XLOOKUP(B9,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Leo Ouimet</v>
      </c>
      <c r="D9" s="65" t="s">
        <v>134</v>
      </c>
      <c r="E9" s="65" t="s">
        <v>178</v>
      </c>
      <c r="F9" s="66" t="s">
        <v>218</v>
      </c>
      <c r="G9" s="55" t="s">
        <v>1</v>
      </c>
      <c r="H9" s="56" t="s">
        <v>5</v>
      </c>
      <c r="I9" s="57" t="b">
        <f t="shared" si="0"/>
        <v>1</v>
      </c>
      <c r="J9" s="27" t="b">
        <v>0</v>
      </c>
      <c r="K9" s="27" t="b">
        <v>0</v>
      </c>
      <c r="L9" s="58">
        <f t="shared" si="1"/>
        <v>350</v>
      </c>
      <c r="M9" s="59">
        <f t="shared" si="2"/>
        <v>0</v>
      </c>
      <c r="N9" s="59">
        <f t="shared" si="4"/>
        <v>0</v>
      </c>
      <c r="O9" s="59">
        <f t="shared" si="5"/>
        <v>0</v>
      </c>
      <c r="P9" s="59">
        <v>30</v>
      </c>
      <c r="Q9" s="60">
        <f t="shared" si="3"/>
        <v>380</v>
      </c>
    </row>
    <row r="10" spans="1:18" ht="16.5" thickBot="1" x14ac:dyDescent="0.45">
      <c r="A10" s="18">
        <v>46202</v>
      </c>
      <c r="B10" s="53" t="s">
        <v>29</v>
      </c>
      <c r="C10" s="54" t="str" cm="1">
        <f t="array" ref="C10">_xlfn.XLOOKUP(B10,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Sadad Ahmed</v>
      </c>
      <c r="D10" s="65" t="s">
        <v>135</v>
      </c>
      <c r="E10" s="65" t="s">
        <v>113</v>
      </c>
      <c r="F10" s="66" t="s">
        <v>219</v>
      </c>
      <c r="G10" s="55" t="s">
        <v>1</v>
      </c>
      <c r="H10" s="56" t="s">
        <v>5</v>
      </c>
      <c r="I10" s="57" t="b">
        <f t="shared" si="0"/>
        <v>1</v>
      </c>
      <c r="J10" s="27" t="b">
        <v>1</v>
      </c>
      <c r="K10" s="27" t="b">
        <v>1</v>
      </c>
      <c r="L10" s="58">
        <f t="shared" si="1"/>
        <v>350</v>
      </c>
      <c r="M10" s="59">
        <f t="shared" si="2"/>
        <v>50</v>
      </c>
      <c r="N10" s="59">
        <f t="shared" si="4"/>
        <v>50</v>
      </c>
      <c r="O10" s="59">
        <f t="shared" si="5"/>
        <v>0</v>
      </c>
      <c r="P10" s="59">
        <v>30</v>
      </c>
      <c r="Q10" s="60">
        <f t="shared" si="3"/>
        <v>480</v>
      </c>
    </row>
    <row r="11" spans="1:18" ht="16.5" thickBot="1" x14ac:dyDescent="0.45">
      <c r="A11" s="18">
        <v>46202</v>
      </c>
      <c r="B11" s="53" t="s">
        <v>29</v>
      </c>
      <c r="C11" s="54" t="str" cm="1">
        <f t="array" ref="C11">_xlfn.XLOOKUP(B11,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Sadad Ahmed</v>
      </c>
      <c r="D11" s="65" t="s">
        <v>136</v>
      </c>
      <c r="E11" s="65" t="s">
        <v>179</v>
      </c>
      <c r="F11" s="66" t="s">
        <v>220</v>
      </c>
      <c r="G11" s="55" t="s">
        <v>1</v>
      </c>
      <c r="H11" s="56" t="s">
        <v>5</v>
      </c>
      <c r="I11" s="57" t="b">
        <f t="shared" si="0"/>
        <v>1</v>
      </c>
      <c r="J11" s="27" t="b">
        <v>0</v>
      </c>
      <c r="K11" s="27" t="b">
        <v>0</v>
      </c>
      <c r="L11" s="58">
        <f t="shared" si="1"/>
        <v>350</v>
      </c>
      <c r="M11" s="59">
        <f t="shared" si="2"/>
        <v>0</v>
      </c>
      <c r="N11" s="59">
        <f t="shared" si="4"/>
        <v>0</v>
      </c>
      <c r="O11" s="59">
        <f t="shared" si="5"/>
        <v>0</v>
      </c>
      <c r="P11" s="59">
        <v>30</v>
      </c>
      <c r="Q11" s="60">
        <f t="shared" si="3"/>
        <v>380</v>
      </c>
    </row>
    <row r="12" spans="1:18" ht="15.75" customHeight="1" thickBot="1" x14ac:dyDescent="0.45">
      <c r="A12" s="18">
        <v>46202</v>
      </c>
      <c r="B12" s="53" t="s">
        <v>47</v>
      </c>
      <c r="C12" s="54" t="str" cm="1">
        <f t="array" ref="C12">_xlfn.XLOOKUP(B12,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Mubeen Afreed</v>
      </c>
      <c r="D12" s="65" t="s">
        <v>137</v>
      </c>
      <c r="E12" s="65" t="s">
        <v>180</v>
      </c>
      <c r="F12" s="66" t="s">
        <v>221</v>
      </c>
      <c r="G12" s="55" t="s">
        <v>1</v>
      </c>
      <c r="H12" s="56" t="s">
        <v>5</v>
      </c>
      <c r="I12" s="57" t="b">
        <f t="shared" si="0"/>
        <v>1</v>
      </c>
      <c r="J12" s="27" t="b">
        <v>0</v>
      </c>
      <c r="K12" s="27" t="b">
        <v>0</v>
      </c>
      <c r="L12" s="58">
        <f t="shared" si="1"/>
        <v>350</v>
      </c>
      <c r="M12" s="59">
        <f t="shared" si="2"/>
        <v>0</v>
      </c>
      <c r="N12" s="59">
        <f t="shared" si="4"/>
        <v>0</v>
      </c>
      <c r="O12" s="59">
        <f t="shared" si="5"/>
        <v>0</v>
      </c>
      <c r="P12" s="59">
        <v>30</v>
      </c>
      <c r="Q12" s="60">
        <f t="shared" si="3"/>
        <v>380</v>
      </c>
    </row>
    <row r="13" spans="1:18" ht="15.75" customHeight="1" thickBot="1" x14ac:dyDescent="0.45">
      <c r="A13" s="18">
        <v>46202</v>
      </c>
      <c r="B13" s="53" t="s">
        <v>37</v>
      </c>
      <c r="C13" s="54" t="str" cm="1">
        <f t="array" ref="C13">_xlfn.XLOOKUP(B13,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Leo Ouimet</v>
      </c>
      <c r="D13" s="65" t="s">
        <v>138</v>
      </c>
      <c r="E13" s="65" t="s">
        <v>117</v>
      </c>
      <c r="F13" s="66" t="s">
        <v>222</v>
      </c>
      <c r="G13" s="55" t="s">
        <v>1</v>
      </c>
      <c r="H13" s="56" t="s">
        <v>5</v>
      </c>
      <c r="I13" s="57" t="b">
        <f t="shared" si="0"/>
        <v>1</v>
      </c>
      <c r="J13" s="27" t="b">
        <v>0</v>
      </c>
      <c r="K13" s="27" t="b">
        <v>0</v>
      </c>
      <c r="L13" s="58">
        <f t="shared" si="1"/>
        <v>350</v>
      </c>
      <c r="M13" s="59">
        <f t="shared" si="2"/>
        <v>0</v>
      </c>
      <c r="N13" s="59">
        <f t="shared" si="4"/>
        <v>0</v>
      </c>
      <c r="O13" s="59">
        <f t="shared" si="5"/>
        <v>0</v>
      </c>
      <c r="P13" s="59">
        <v>30</v>
      </c>
      <c r="Q13" s="60">
        <f t="shared" si="3"/>
        <v>380</v>
      </c>
    </row>
    <row r="14" spans="1:18" ht="15.75" customHeight="1" thickBot="1" x14ac:dyDescent="0.45">
      <c r="A14" s="18">
        <v>46202</v>
      </c>
      <c r="B14" s="53" t="s">
        <v>43</v>
      </c>
      <c r="C14" s="54" t="str" cm="1">
        <f t="array" ref="C14">_xlfn.XLOOKUP(B14,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Md Jubair Hossain</v>
      </c>
      <c r="D14" s="65" t="s">
        <v>139</v>
      </c>
      <c r="E14" s="65" t="s">
        <v>181</v>
      </c>
      <c r="F14" s="66" t="s">
        <v>223</v>
      </c>
      <c r="G14" s="55" t="s">
        <v>1</v>
      </c>
      <c r="H14" s="56" t="s">
        <v>5</v>
      </c>
      <c r="I14" s="57" t="b">
        <f t="shared" si="0"/>
        <v>1</v>
      </c>
      <c r="J14" s="27" t="b">
        <v>0</v>
      </c>
      <c r="K14" s="27" t="b">
        <v>0</v>
      </c>
      <c r="L14" s="58">
        <f t="shared" si="1"/>
        <v>350</v>
      </c>
      <c r="M14" s="59">
        <f t="shared" si="2"/>
        <v>0</v>
      </c>
      <c r="N14" s="59">
        <f t="shared" si="4"/>
        <v>0</v>
      </c>
      <c r="O14" s="59">
        <f t="shared" si="5"/>
        <v>0</v>
      </c>
      <c r="P14" s="59">
        <v>30</v>
      </c>
      <c r="Q14" s="60">
        <f t="shared" si="3"/>
        <v>380</v>
      </c>
    </row>
    <row r="15" spans="1:18" ht="15.75" customHeight="1" thickBot="1" x14ac:dyDescent="0.45">
      <c r="A15" s="18">
        <v>46202</v>
      </c>
      <c r="B15" s="53" t="s">
        <v>43</v>
      </c>
      <c r="C15" s="61" t="str" cm="1">
        <f t="array" ref="C15">_xlfn.XLOOKUP(B15,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Md Jubair Hossain</v>
      </c>
      <c r="D15" s="65" t="s">
        <v>119</v>
      </c>
      <c r="E15" s="65" t="s">
        <v>182</v>
      </c>
      <c r="F15" s="66" t="s">
        <v>224</v>
      </c>
      <c r="G15" s="55" t="s">
        <v>1</v>
      </c>
      <c r="H15" s="56" t="s">
        <v>5</v>
      </c>
      <c r="I15" s="57" t="b">
        <f t="shared" si="0"/>
        <v>1</v>
      </c>
      <c r="J15" s="27" t="b">
        <v>0</v>
      </c>
      <c r="K15" s="27" t="b">
        <v>0</v>
      </c>
      <c r="L15" s="58">
        <f t="shared" si="1"/>
        <v>350</v>
      </c>
      <c r="M15" s="59">
        <f t="shared" si="2"/>
        <v>0</v>
      </c>
      <c r="N15" s="59">
        <f t="shared" si="4"/>
        <v>0</v>
      </c>
      <c r="O15" s="59">
        <f t="shared" si="5"/>
        <v>0</v>
      </c>
      <c r="P15" s="59">
        <v>30</v>
      </c>
      <c r="Q15" s="60">
        <f t="shared" si="3"/>
        <v>380</v>
      </c>
    </row>
    <row r="16" spans="1:18" ht="15.75" customHeight="1" thickBot="1" x14ac:dyDescent="0.45">
      <c r="A16" s="18">
        <v>46202</v>
      </c>
      <c r="B16" s="53" t="s">
        <v>55</v>
      </c>
      <c r="C16" s="54" t="str" cm="1">
        <f t="array" ref="C16">_xlfn.XLOOKUP(B16,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Adnan Saquib</v>
      </c>
      <c r="D16" s="65" t="s">
        <v>140</v>
      </c>
      <c r="E16" s="65" t="s">
        <v>118</v>
      </c>
      <c r="F16" s="66" t="s">
        <v>225</v>
      </c>
      <c r="G16" s="55" t="s">
        <v>1</v>
      </c>
      <c r="H16" s="56" t="s">
        <v>5</v>
      </c>
      <c r="I16" s="57" t="b">
        <f t="shared" si="0"/>
        <v>1</v>
      </c>
      <c r="J16" s="27" t="b">
        <v>1</v>
      </c>
      <c r="K16" s="27" t="b">
        <v>1</v>
      </c>
      <c r="L16" s="58">
        <f t="shared" si="1"/>
        <v>350</v>
      </c>
      <c r="M16" s="59">
        <f t="shared" si="2"/>
        <v>50</v>
      </c>
      <c r="N16" s="59">
        <f t="shared" si="4"/>
        <v>50</v>
      </c>
      <c r="O16" s="59">
        <f t="shared" si="5"/>
        <v>0</v>
      </c>
      <c r="P16" s="59">
        <v>30</v>
      </c>
      <c r="Q16" s="60">
        <f t="shared" si="3"/>
        <v>480</v>
      </c>
    </row>
    <row r="17" spans="1:17" ht="15.75" customHeight="1" thickBot="1" x14ac:dyDescent="0.45">
      <c r="A17" s="18">
        <v>46202</v>
      </c>
      <c r="B17" s="53" t="s">
        <v>41</v>
      </c>
      <c r="C17" s="54" t="str" cm="1">
        <f t="array" ref="C17">_xlfn.XLOOKUP(B17,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Mir Adil Mahmud</v>
      </c>
      <c r="D17" s="65" t="s">
        <v>141</v>
      </c>
      <c r="E17" s="65" t="s">
        <v>183</v>
      </c>
      <c r="F17" s="66" t="s">
        <v>226</v>
      </c>
      <c r="G17" s="55" t="s">
        <v>1</v>
      </c>
      <c r="H17" s="56" t="s">
        <v>5</v>
      </c>
      <c r="I17" s="57" t="b">
        <f t="shared" si="0"/>
        <v>1</v>
      </c>
      <c r="J17" s="27" t="b">
        <v>0</v>
      </c>
      <c r="K17" s="27" t="b">
        <v>1</v>
      </c>
      <c r="L17" s="58">
        <f t="shared" si="1"/>
        <v>350</v>
      </c>
      <c r="M17" s="59">
        <f t="shared" si="2"/>
        <v>0</v>
      </c>
      <c r="N17" s="59">
        <f t="shared" si="4"/>
        <v>50</v>
      </c>
      <c r="O17" s="59">
        <f t="shared" si="5"/>
        <v>0</v>
      </c>
      <c r="P17" s="59">
        <v>30</v>
      </c>
      <c r="Q17" s="60">
        <f t="shared" si="3"/>
        <v>430</v>
      </c>
    </row>
    <row r="18" spans="1:17" ht="15.75" customHeight="1" thickBot="1" x14ac:dyDescent="0.45">
      <c r="A18" s="18">
        <v>46202</v>
      </c>
      <c r="B18" s="53" t="s">
        <v>47</v>
      </c>
      <c r="C18" s="54" t="str" cm="1">
        <f t="array" ref="C18">_xlfn.XLOOKUP(B18,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Mubeen Afreed</v>
      </c>
      <c r="D18" s="65" t="s">
        <v>142</v>
      </c>
      <c r="E18" s="65" t="s">
        <v>175</v>
      </c>
      <c r="F18" s="66" t="s">
        <v>227</v>
      </c>
      <c r="G18" s="55" t="s">
        <v>1</v>
      </c>
      <c r="H18" s="56" t="s">
        <v>5</v>
      </c>
      <c r="I18" s="57" t="b">
        <f t="shared" si="0"/>
        <v>1</v>
      </c>
      <c r="J18" s="27" t="b">
        <v>1</v>
      </c>
      <c r="K18" s="27" t="b">
        <v>1</v>
      </c>
      <c r="L18" s="58">
        <f t="shared" si="1"/>
        <v>350</v>
      </c>
      <c r="M18" s="59">
        <f t="shared" si="2"/>
        <v>50</v>
      </c>
      <c r="N18" s="59">
        <f t="shared" si="4"/>
        <v>50</v>
      </c>
      <c r="O18" s="59">
        <f t="shared" si="5"/>
        <v>0</v>
      </c>
      <c r="P18" s="59">
        <v>30</v>
      </c>
      <c r="Q18" s="60">
        <f t="shared" si="3"/>
        <v>480</v>
      </c>
    </row>
    <row r="19" spans="1:17" ht="15.75" customHeight="1" thickBot="1" x14ac:dyDescent="0.45">
      <c r="A19" s="18">
        <v>46202</v>
      </c>
      <c r="B19" s="53" t="s">
        <v>25</v>
      </c>
      <c r="C19" s="54" t="str" cm="1">
        <f t="array" ref="C19">_xlfn.XLOOKUP(B19,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Mohammed Al Amin</v>
      </c>
      <c r="D19" s="65" t="s">
        <v>143</v>
      </c>
      <c r="E19" s="65" t="s">
        <v>184</v>
      </c>
      <c r="F19" s="66" t="s">
        <v>228</v>
      </c>
      <c r="G19" s="55" t="s">
        <v>1</v>
      </c>
      <c r="H19" s="56" t="s">
        <v>5</v>
      </c>
      <c r="I19" s="57" t="b">
        <f t="shared" si="0"/>
        <v>1</v>
      </c>
      <c r="J19" s="27" t="b">
        <v>0</v>
      </c>
      <c r="K19" s="27" t="b">
        <v>0</v>
      </c>
      <c r="L19" s="58">
        <f t="shared" si="1"/>
        <v>350</v>
      </c>
      <c r="M19" s="59">
        <f t="shared" si="2"/>
        <v>0</v>
      </c>
      <c r="N19" s="59">
        <f t="shared" si="4"/>
        <v>0</v>
      </c>
      <c r="O19" s="59">
        <f t="shared" si="5"/>
        <v>0</v>
      </c>
      <c r="P19" s="59">
        <v>30</v>
      </c>
      <c r="Q19" s="60">
        <f t="shared" si="3"/>
        <v>380</v>
      </c>
    </row>
    <row r="20" spans="1:17" ht="15.75" customHeight="1" thickBot="1" x14ac:dyDescent="0.45">
      <c r="A20" s="18">
        <v>46202</v>
      </c>
      <c r="B20" s="53" t="s">
        <v>47</v>
      </c>
      <c r="C20" s="54" t="str" cm="1">
        <f t="array" ref="C20">_xlfn.XLOOKUP(B20,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Mubeen Afreed</v>
      </c>
      <c r="D20" s="65" t="s">
        <v>144</v>
      </c>
      <c r="E20" s="65" t="s">
        <v>185</v>
      </c>
      <c r="F20" s="66" t="s">
        <v>229</v>
      </c>
      <c r="G20" s="55" t="s">
        <v>1</v>
      </c>
      <c r="H20" s="56" t="s">
        <v>5</v>
      </c>
      <c r="I20" s="57" t="b">
        <f t="shared" si="0"/>
        <v>1</v>
      </c>
      <c r="J20" s="27" t="b">
        <v>1</v>
      </c>
      <c r="K20" s="27" t="b">
        <v>1</v>
      </c>
      <c r="L20" s="58">
        <f t="shared" si="1"/>
        <v>350</v>
      </c>
      <c r="M20" s="59">
        <f t="shared" si="2"/>
        <v>50</v>
      </c>
      <c r="N20" s="59">
        <f t="shared" si="4"/>
        <v>50</v>
      </c>
      <c r="O20" s="59">
        <f t="shared" si="5"/>
        <v>0</v>
      </c>
      <c r="P20" s="59">
        <v>30</v>
      </c>
      <c r="Q20" s="60">
        <f t="shared" si="3"/>
        <v>480</v>
      </c>
    </row>
    <row r="21" spans="1:17" ht="15.75" customHeight="1" thickBot="1" x14ac:dyDescent="0.45">
      <c r="A21" s="18">
        <v>46202</v>
      </c>
      <c r="B21" s="53" t="s">
        <v>77</v>
      </c>
      <c r="C21" s="54" t="str" cm="1">
        <f t="array" ref="C21">_xlfn.XLOOKUP(B21,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Asif</v>
      </c>
      <c r="D21" s="65" t="s">
        <v>145</v>
      </c>
      <c r="E21" s="65" t="s">
        <v>186</v>
      </c>
      <c r="F21" s="66" t="s">
        <v>230</v>
      </c>
      <c r="G21" s="55" t="s">
        <v>1</v>
      </c>
      <c r="H21" s="56" t="s">
        <v>2</v>
      </c>
      <c r="I21" s="57" t="b">
        <f>IF(TRIM(H21)="Fibre 150mb/300mb",TRUE,IF(TRIM(H21)="Fibre 500mb/650mb",TRUE,IF(OR(TRIM(H21)="Fibre 1gig/2.5gig",TRIM(H21)="RF Fibre 1gig/2.5gig"),TRUE,IF(TRIM(H21)="WI Internet 25/5",TRUE,IF(TRIM(H21)="WI Internet 50/10",TRUE,IF(TRIM(H21)="Business Internet 150",TRUE,IF(TRIM(H21)="Business Internet 500/1gig",TRUE,"")))))))</f>
        <v>1</v>
      </c>
      <c r="J21" s="27" t="b">
        <v>0</v>
      </c>
      <c r="K21" s="27" t="b">
        <v>0</v>
      </c>
      <c r="L21" s="58">
        <v>350</v>
      </c>
      <c r="M21" s="59">
        <f t="shared" si="2"/>
        <v>0</v>
      </c>
      <c r="N21" s="59">
        <f t="shared" si="4"/>
        <v>0</v>
      </c>
      <c r="O21" s="59">
        <f t="shared" si="5"/>
        <v>0</v>
      </c>
      <c r="P21" s="59">
        <v>30</v>
      </c>
      <c r="Q21" s="60">
        <f t="shared" si="3"/>
        <v>380</v>
      </c>
    </row>
    <row r="22" spans="1:17" ht="15.75" customHeight="1" thickBot="1" x14ac:dyDescent="0.45">
      <c r="A22" s="18">
        <v>46202</v>
      </c>
      <c r="B22" s="53" t="s">
        <v>77</v>
      </c>
      <c r="C22" s="54" t="str" cm="1">
        <f t="array" ref="C22">_xlfn.XLOOKUP(B22,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Asif</v>
      </c>
      <c r="D22" s="65" t="s">
        <v>146</v>
      </c>
      <c r="E22" s="65" t="s">
        <v>187</v>
      </c>
      <c r="F22" s="66" t="s">
        <v>231</v>
      </c>
      <c r="G22" s="55" t="s">
        <v>1</v>
      </c>
      <c r="H22" s="56" t="s">
        <v>5</v>
      </c>
      <c r="I22" s="57" t="b">
        <f t="shared" si="0"/>
        <v>1</v>
      </c>
      <c r="J22" s="27" t="b">
        <v>0</v>
      </c>
      <c r="K22" s="27" t="b">
        <v>0</v>
      </c>
      <c r="L22" s="58">
        <f t="shared" si="1"/>
        <v>350</v>
      </c>
      <c r="M22" s="59">
        <f t="shared" si="2"/>
        <v>0</v>
      </c>
      <c r="N22" s="59">
        <f t="shared" si="4"/>
        <v>0</v>
      </c>
      <c r="O22" s="59">
        <f t="shared" si="5"/>
        <v>0</v>
      </c>
      <c r="P22" s="59">
        <v>30</v>
      </c>
      <c r="Q22" s="60">
        <f t="shared" si="3"/>
        <v>380</v>
      </c>
    </row>
    <row r="23" spans="1:17" ht="15.75" customHeight="1" thickBot="1" x14ac:dyDescent="0.45">
      <c r="A23" s="18">
        <v>46202</v>
      </c>
      <c r="B23" s="53" t="s">
        <v>37</v>
      </c>
      <c r="C23" s="54" t="str" cm="1">
        <f t="array" ref="C23">_xlfn.XLOOKUP(B23,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Leo Ouimet</v>
      </c>
      <c r="D23" s="65" t="s">
        <v>147</v>
      </c>
      <c r="E23" s="65" t="s">
        <v>188</v>
      </c>
      <c r="F23" s="66" t="s">
        <v>232</v>
      </c>
      <c r="G23" s="55" t="s">
        <v>1</v>
      </c>
      <c r="H23" s="56" t="s">
        <v>5</v>
      </c>
      <c r="I23" s="57" t="b">
        <f t="shared" si="0"/>
        <v>1</v>
      </c>
      <c r="J23" s="27" t="b">
        <v>1</v>
      </c>
      <c r="K23" s="27" t="b">
        <v>1</v>
      </c>
      <c r="L23" s="58">
        <f t="shared" si="1"/>
        <v>350</v>
      </c>
      <c r="M23" s="59">
        <f t="shared" si="2"/>
        <v>50</v>
      </c>
      <c r="N23" s="59">
        <f t="shared" si="4"/>
        <v>50</v>
      </c>
      <c r="O23" s="59">
        <f t="shared" si="5"/>
        <v>0</v>
      </c>
      <c r="P23" s="59">
        <v>30</v>
      </c>
      <c r="Q23" s="60">
        <f t="shared" si="3"/>
        <v>480</v>
      </c>
    </row>
    <row r="24" spans="1:17" ht="19.5" customHeight="1" thickBot="1" x14ac:dyDescent="0.45">
      <c r="A24" s="18">
        <v>46203</v>
      </c>
      <c r="B24" s="53" t="s">
        <v>21</v>
      </c>
      <c r="C24" s="54" t="str" cm="1">
        <f t="array" ref="C24">_xlfn.XLOOKUP(B24,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Arifur Rahman</v>
      </c>
      <c r="D24" s="65" t="s">
        <v>148</v>
      </c>
      <c r="E24" s="65" t="s">
        <v>189</v>
      </c>
      <c r="F24" s="66" t="s">
        <v>233</v>
      </c>
      <c r="G24" s="55" t="s">
        <v>1</v>
      </c>
      <c r="H24" s="56" t="s">
        <v>4</v>
      </c>
      <c r="I24" s="57" t="b">
        <f t="shared" si="0"/>
        <v>1</v>
      </c>
      <c r="J24" s="27" t="b">
        <v>0</v>
      </c>
      <c r="K24" s="27" t="b">
        <v>0</v>
      </c>
      <c r="L24" s="58">
        <v>350</v>
      </c>
      <c r="M24" s="59">
        <f t="shared" si="2"/>
        <v>0</v>
      </c>
      <c r="N24" s="59">
        <f t="shared" si="4"/>
        <v>0</v>
      </c>
      <c r="O24" s="59">
        <f>IF(AND(I24=TRUE,J24=TRUE,K24=TRUE),0,0)</f>
        <v>0</v>
      </c>
      <c r="P24" s="59">
        <v>30</v>
      </c>
      <c r="Q24" s="60">
        <f t="shared" si="3"/>
        <v>380</v>
      </c>
    </row>
    <row r="25" spans="1:17" ht="19.5" customHeight="1" thickBot="1" x14ac:dyDescent="0.45">
      <c r="A25" s="18">
        <v>46203</v>
      </c>
      <c r="B25" s="53" t="s">
        <v>37</v>
      </c>
      <c r="C25" s="54" t="str" cm="1">
        <f t="array" ref="C25">_xlfn.XLOOKUP(B25,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Leo Ouimet</v>
      </c>
      <c r="D25" s="65" t="s">
        <v>126</v>
      </c>
      <c r="E25" s="65" t="s">
        <v>190</v>
      </c>
      <c r="F25" s="66" t="s">
        <v>234</v>
      </c>
      <c r="G25" s="55" t="s">
        <v>1</v>
      </c>
      <c r="H25" s="56" t="s">
        <v>5</v>
      </c>
      <c r="I25" s="57" t="b">
        <f t="shared" si="0"/>
        <v>1</v>
      </c>
      <c r="J25" s="27" t="b">
        <v>0</v>
      </c>
      <c r="K25" s="27" t="b">
        <v>0</v>
      </c>
      <c r="L25" s="58">
        <f t="shared" si="1"/>
        <v>350</v>
      </c>
      <c r="M25" s="59">
        <f t="shared" si="2"/>
        <v>0</v>
      </c>
      <c r="N25" s="59">
        <f t="shared" si="4"/>
        <v>0</v>
      </c>
      <c r="O25" s="59">
        <f t="shared" si="5"/>
        <v>0</v>
      </c>
      <c r="P25" s="59">
        <v>30</v>
      </c>
      <c r="Q25" s="60">
        <f t="shared" si="3"/>
        <v>380</v>
      </c>
    </row>
    <row r="26" spans="1:17" ht="19.5" customHeight="1" thickBot="1" x14ac:dyDescent="0.45">
      <c r="A26" s="18">
        <v>46203</v>
      </c>
      <c r="B26" s="53" t="s">
        <v>81</v>
      </c>
      <c r="C26" s="54" t="str" cm="1">
        <f t="array" ref="C26">_xlfn.XLOOKUP(B26,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Mohaimin Rahman</v>
      </c>
      <c r="D26" s="65" t="s">
        <v>149</v>
      </c>
      <c r="E26" s="65" t="s">
        <v>114</v>
      </c>
      <c r="F26" s="66" t="s">
        <v>235</v>
      </c>
      <c r="G26" s="55" t="s">
        <v>1</v>
      </c>
      <c r="H26" s="56" t="s">
        <v>5</v>
      </c>
      <c r="I26" s="57" t="b">
        <f t="shared" si="0"/>
        <v>1</v>
      </c>
      <c r="J26" s="27" t="b">
        <v>0</v>
      </c>
      <c r="K26" s="27" t="b">
        <v>0</v>
      </c>
      <c r="L26" s="58">
        <f t="shared" si="1"/>
        <v>350</v>
      </c>
      <c r="M26" s="59">
        <f t="shared" si="2"/>
        <v>0</v>
      </c>
      <c r="N26" s="59">
        <f t="shared" si="4"/>
        <v>0</v>
      </c>
      <c r="O26" s="59">
        <f t="shared" si="5"/>
        <v>0</v>
      </c>
      <c r="P26" s="59">
        <v>30</v>
      </c>
      <c r="Q26" s="60">
        <f t="shared" si="3"/>
        <v>380</v>
      </c>
    </row>
    <row r="27" spans="1:17" ht="19.5" customHeight="1" thickBot="1" x14ac:dyDescent="0.45">
      <c r="A27" s="18">
        <v>46203</v>
      </c>
      <c r="B27" s="53" t="s">
        <v>25</v>
      </c>
      <c r="C27" s="61" t="str" cm="1">
        <f t="array" ref="C27">_xlfn.XLOOKUP(B27,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Mohammed Al Amin</v>
      </c>
      <c r="D27" s="65" t="s">
        <v>150</v>
      </c>
      <c r="E27" s="65" t="s">
        <v>191</v>
      </c>
      <c r="F27" s="66" t="s">
        <v>236</v>
      </c>
      <c r="G27" s="55" t="s">
        <v>1</v>
      </c>
      <c r="H27" s="56" t="s">
        <v>5</v>
      </c>
      <c r="I27" s="57" t="b">
        <f t="shared" si="0"/>
        <v>1</v>
      </c>
      <c r="J27" s="27" t="b">
        <v>0</v>
      </c>
      <c r="K27" s="27" t="b">
        <v>0</v>
      </c>
      <c r="L27" s="58">
        <f t="shared" si="1"/>
        <v>350</v>
      </c>
      <c r="M27" s="59">
        <f t="shared" si="2"/>
        <v>0</v>
      </c>
      <c r="N27" s="59">
        <f t="shared" si="4"/>
        <v>0</v>
      </c>
      <c r="O27" s="59">
        <f t="shared" si="5"/>
        <v>0</v>
      </c>
      <c r="P27" s="59">
        <v>30</v>
      </c>
      <c r="Q27" s="60">
        <f t="shared" si="3"/>
        <v>380</v>
      </c>
    </row>
    <row r="28" spans="1:17" ht="15.75" customHeight="1" thickBot="1" x14ac:dyDescent="0.45">
      <c r="A28" s="18">
        <v>46203</v>
      </c>
      <c r="B28" s="53" t="s">
        <v>37</v>
      </c>
      <c r="C28" s="54" t="str" cm="1">
        <f t="array" ref="C28">_xlfn.XLOOKUP(B28,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Leo Ouimet</v>
      </c>
      <c r="D28" s="65" t="s">
        <v>151</v>
      </c>
      <c r="E28" s="65" t="s">
        <v>122</v>
      </c>
      <c r="F28" s="66" t="s">
        <v>237</v>
      </c>
      <c r="G28" s="55" t="s">
        <v>1</v>
      </c>
      <c r="H28" s="56" t="s">
        <v>5</v>
      </c>
      <c r="I28" s="57" t="b">
        <f t="shared" si="0"/>
        <v>1</v>
      </c>
      <c r="J28" s="27" t="b">
        <v>1</v>
      </c>
      <c r="K28" s="27" t="b">
        <v>0</v>
      </c>
      <c r="L28" s="58">
        <f t="shared" si="1"/>
        <v>350</v>
      </c>
      <c r="M28" s="59">
        <f t="shared" si="2"/>
        <v>50</v>
      </c>
      <c r="N28" s="59">
        <f t="shared" si="4"/>
        <v>0</v>
      </c>
      <c r="O28" s="59">
        <f t="shared" si="5"/>
        <v>0</v>
      </c>
      <c r="P28" s="59">
        <v>30</v>
      </c>
      <c r="Q28" s="60">
        <f t="shared" si="3"/>
        <v>430</v>
      </c>
    </row>
    <row r="29" spans="1:17" ht="16.5" thickBot="1" x14ac:dyDescent="0.45">
      <c r="A29" s="18">
        <v>46203</v>
      </c>
      <c r="B29" s="53" t="s">
        <v>39</v>
      </c>
      <c r="C29" s="54" t="str" cm="1">
        <f t="array" ref="C29">_xlfn.XLOOKUP(B29,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Atikur Rahman</v>
      </c>
      <c r="D29" s="65" t="s">
        <v>136</v>
      </c>
      <c r="E29" s="65" t="s">
        <v>192</v>
      </c>
      <c r="F29" s="66" t="s">
        <v>238</v>
      </c>
      <c r="G29" s="55" t="s">
        <v>1</v>
      </c>
      <c r="H29" s="56" t="s">
        <v>5</v>
      </c>
      <c r="I29" s="57" t="b">
        <f t="shared" si="0"/>
        <v>1</v>
      </c>
      <c r="J29" s="27" t="b">
        <v>0</v>
      </c>
      <c r="K29" s="27" t="b">
        <v>0</v>
      </c>
      <c r="L29" s="58">
        <f t="shared" si="1"/>
        <v>350</v>
      </c>
      <c r="M29" s="59">
        <f t="shared" si="2"/>
        <v>0</v>
      </c>
      <c r="N29" s="59">
        <f t="shared" si="4"/>
        <v>0</v>
      </c>
      <c r="O29" s="59">
        <f t="shared" si="5"/>
        <v>0</v>
      </c>
      <c r="P29" s="59">
        <v>30</v>
      </c>
      <c r="Q29" s="60">
        <f t="shared" si="3"/>
        <v>380</v>
      </c>
    </row>
    <row r="30" spans="1:17" ht="15.75" customHeight="1" thickBot="1" x14ac:dyDescent="0.45">
      <c r="A30" s="18">
        <v>46203</v>
      </c>
      <c r="B30" s="53" t="s">
        <v>35</v>
      </c>
      <c r="C30" s="54" t="str" cm="1">
        <f t="array" ref="C30">_xlfn.XLOOKUP(B30,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Shahriar Rahman</v>
      </c>
      <c r="D30" s="65" t="s">
        <v>152</v>
      </c>
      <c r="E30" s="65" t="s">
        <v>124</v>
      </c>
      <c r="F30" s="66" t="s">
        <v>239</v>
      </c>
      <c r="G30" s="55" t="s">
        <v>1</v>
      </c>
      <c r="H30" s="56" t="s">
        <v>5</v>
      </c>
      <c r="I30" s="57" t="b">
        <f t="shared" si="0"/>
        <v>1</v>
      </c>
      <c r="J30" s="27" t="b">
        <v>0</v>
      </c>
      <c r="K30" s="27" t="b">
        <v>0</v>
      </c>
      <c r="L30" s="58">
        <f t="shared" si="1"/>
        <v>350</v>
      </c>
      <c r="M30" s="59">
        <f t="shared" si="2"/>
        <v>0</v>
      </c>
      <c r="N30" s="59">
        <f t="shared" si="4"/>
        <v>0</v>
      </c>
      <c r="O30" s="59">
        <f>IF(AND(I30=TRUE,J31=TRUE,K30=TRUE),0,0)</f>
        <v>0</v>
      </c>
      <c r="P30" s="59">
        <v>30</v>
      </c>
      <c r="Q30" s="60">
        <f t="shared" si="3"/>
        <v>380</v>
      </c>
    </row>
    <row r="31" spans="1:17" ht="15.75" customHeight="1" thickBot="1" x14ac:dyDescent="0.45">
      <c r="A31" s="18">
        <v>46203</v>
      </c>
      <c r="B31" s="53" t="s">
        <v>57</v>
      </c>
      <c r="C31" s="54" t="str" cm="1">
        <f t="array" ref="C31">_xlfn.XLOOKUP(B31,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Jahidul Islam Rahat</v>
      </c>
      <c r="D31" s="65" t="s">
        <v>134</v>
      </c>
      <c r="E31" s="65" t="s">
        <v>193</v>
      </c>
      <c r="F31" s="66" t="s">
        <v>240</v>
      </c>
      <c r="G31" s="55" t="s">
        <v>1</v>
      </c>
      <c r="H31" s="56" t="s">
        <v>4</v>
      </c>
      <c r="I31" s="57" t="b">
        <f t="shared" si="0"/>
        <v>1</v>
      </c>
      <c r="J31" s="27" t="b">
        <v>0</v>
      </c>
      <c r="K31" s="27" t="b">
        <v>0</v>
      </c>
      <c r="L31" s="58">
        <v>350</v>
      </c>
      <c r="M31" s="59">
        <f t="shared" si="2"/>
        <v>0</v>
      </c>
      <c r="N31" s="59">
        <f t="shared" si="4"/>
        <v>0</v>
      </c>
      <c r="O31" s="59">
        <f t="shared" ref="O31:O56" si="6">IF(AND(I31=TRUE,J32=TRUE,K31=TRUE),0,0)</f>
        <v>0</v>
      </c>
      <c r="P31" s="59">
        <v>30</v>
      </c>
      <c r="Q31" s="60">
        <f t="shared" si="3"/>
        <v>380</v>
      </c>
    </row>
    <row r="32" spans="1:17" ht="15.75" customHeight="1" thickBot="1" x14ac:dyDescent="0.45">
      <c r="A32" s="18">
        <v>46203</v>
      </c>
      <c r="B32" s="53" t="s">
        <v>15</v>
      </c>
      <c r="C32" s="54" t="str" cm="1">
        <f t="array" ref="C32">_xlfn.XLOOKUP(B32,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Md Shahidur Rahman Shifat</v>
      </c>
      <c r="D32" s="65" t="s">
        <v>153</v>
      </c>
      <c r="E32" s="65" t="s">
        <v>194</v>
      </c>
      <c r="F32" s="66" t="s">
        <v>241</v>
      </c>
      <c r="G32" s="55" t="s">
        <v>1</v>
      </c>
      <c r="H32" s="56" t="s">
        <v>5</v>
      </c>
      <c r="I32" s="57" t="b">
        <f t="shared" si="0"/>
        <v>1</v>
      </c>
      <c r="J32" s="27" t="b">
        <v>0</v>
      </c>
      <c r="K32" s="27" t="b">
        <v>0</v>
      </c>
      <c r="L32" s="58">
        <f t="shared" si="1"/>
        <v>350</v>
      </c>
      <c r="M32" s="59">
        <f t="shared" si="2"/>
        <v>0</v>
      </c>
      <c r="N32" s="59">
        <f t="shared" si="4"/>
        <v>0</v>
      </c>
      <c r="O32" s="59">
        <f t="shared" si="6"/>
        <v>0</v>
      </c>
      <c r="P32" s="59">
        <v>30</v>
      </c>
      <c r="Q32" s="60">
        <f t="shared" si="3"/>
        <v>380</v>
      </c>
    </row>
    <row r="33" spans="1:17" s="63" customFormat="1" ht="19.5" customHeight="1" thickBot="1" x14ac:dyDescent="0.4">
      <c r="A33" s="18">
        <v>46203</v>
      </c>
      <c r="B33" s="53" t="s">
        <v>35</v>
      </c>
      <c r="C33" s="54" t="str" cm="1">
        <f t="array" ref="C33">_xlfn.XLOOKUP(B33,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Shahriar Rahman</v>
      </c>
      <c r="D33" s="65" t="s">
        <v>154</v>
      </c>
      <c r="E33" s="65" t="s">
        <v>195</v>
      </c>
      <c r="F33" s="66" t="s">
        <v>242</v>
      </c>
      <c r="G33" s="55" t="s">
        <v>1</v>
      </c>
      <c r="H33" s="56" t="s">
        <v>5</v>
      </c>
      <c r="I33" s="57" t="b">
        <f t="shared" si="0"/>
        <v>1</v>
      </c>
      <c r="J33" s="27" t="b">
        <v>0</v>
      </c>
      <c r="K33" s="27" t="b">
        <v>0</v>
      </c>
      <c r="L33" s="58">
        <f t="shared" si="1"/>
        <v>350</v>
      </c>
      <c r="M33" s="62">
        <f t="shared" si="2"/>
        <v>0</v>
      </c>
      <c r="N33" s="59">
        <f t="shared" si="4"/>
        <v>0</v>
      </c>
      <c r="O33" s="62">
        <f t="shared" si="6"/>
        <v>0</v>
      </c>
      <c r="P33" s="59">
        <v>30</v>
      </c>
      <c r="Q33" s="60">
        <f t="shared" si="3"/>
        <v>380</v>
      </c>
    </row>
    <row r="34" spans="1:17" ht="19.5" customHeight="1" thickBot="1" x14ac:dyDescent="0.45">
      <c r="A34" s="18">
        <v>46203</v>
      </c>
      <c r="B34" s="53" t="s">
        <v>77</v>
      </c>
      <c r="C34" s="54" t="str" cm="1">
        <f t="array" ref="C34">_xlfn.XLOOKUP(B34,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Asif</v>
      </c>
      <c r="D34" s="65" t="s">
        <v>155</v>
      </c>
      <c r="E34" s="65" t="s">
        <v>196</v>
      </c>
      <c r="F34" s="66" t="s">
        <v>243</v>
      </c>
      <c r="G34" s="55" t="s">
        <v>1</v>
      </c>
      <c r="H34" s="56" t="s">
        <v>5</v>
      </c>
      <c r="I34" s="57" t="b">
        <f t="shared" si="0"/>
        <v>1</v>
      </c>
      <c r="J34" s="27" t="b">
        <v>0</v>
      </c>
      <c r="K34" s="27" t="b">
        <v>0</v>
      </c>
      <c r="L34" s="58">
        <f t="shared" si="1"/>
        <v>350</v>
      </c>
      <c r="M34" s="59">
        <f t="shared" si="2"/>
        <v>0</v>
      </c>
      <c r="N34" s="59">
        <f t="shared" si="4"/>
        <v>0</v>
      </c>
      <c r="O34" s="59">
        <f>IF(AND(I34=TRUE,J35=TRUE,K34=TRUE),0,0)</f>
        <v>0</v>
      </c>
      <c r="P34" s="59">
        <v>30</v>
      </c>
      <c r="Q34" s="60">
        <f t="shared" si="3"/>
        <v>380</v>
      </c>
    </row>
    <row r="35" spans="1:17" ht="15.75" customHeight="1" thickBot="1" x14ac:dyDescent="0.45">
      <c r="A35" s="18">
        <v>46203</v>
      </c>
      <c r="B35" s="53" t="s">
        <v>77</v>
      </c>
      <c r="C35" s="54" t="str" cm="1">
        <f t="array" ref="C35">_xlfn.XLOOKUP(B35,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Asif</v>
      </c>
      <c r="D35" s="65" t="s">
        <v>156</v>
      </c>
      <c r="E35" s="65" t="s">
        <v>115</v>
      </c>
      <c r="F35" s="66" t="s">
        <v>244</v>
      </c>
      <c r="G35" s="55" t="s">
        <v>1</v>
      </c>
      <c r="H35" s="56" t="s">
        <v>5</v>
      </c>
      <c r="I35" s="57" t="b">
        <f t="shared" si="0"/>
        <v>1</v>
      </c>
      <c r="J35" s="27" t="b">
        <v>0</v>
      </c>
      <c r="K35" s="27" t="b">
        <v>0</v>
      </c>
      <c r="L35" s="58">
        <f t="shared" si="1"/>
        <v>350</v>
      </c>
      <c r="M35" s="59">
        <f t="shared" si="2"/>
        <v>0</v>
      </c>
      <c r="N35" s="59">
        <f t="shared" si="4"/>
        <v>0</v>
      </c>
      <c r="O35" s="59">
        <f t="shared" si="6"/>
        <v>0</v>
      </c>
      <c r="P35" s="59">
        <v>30</v>
      </c>
      <c r="Q35" s="60">
        <f t="shared" si="3"/>
        <v>380</v>
      </c>
    </row>
    <row r="36" spans="1:17" ht="15.75" customHeight="1" thickBot="1" x14ac:dyDescent="0.45">
      <c r="A36" s="18">
        <v>46203</v>
      </c>
      <c r="B36" s="53" t="s">
        <v>77</v>
      </c>
      <c r="C36" s="54" t="str" cm="1">
        <f t="array" ref="C36">_xlfn.XLOOKUP(B36,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Asif</v>
      </c>
      <c r="D36" s="65" t="s">
        <v>157</v>
      </c>
      <c r="E36" s="65" t="s">
        <v>197</v>
      </c>
      <c r="F36" s="66" t="s">
        <v>245</v>
      </c>
      <c r="G36" s="55" t="s">
        <v>1</v>
      </c>
      <c r="H36" s="56" t="s">
        <v>5</v>
      </c>
      <c r="I36" s="57" t="b">
        <f t="shared" si="0"/>
        <v>1</v>
      </c>
      <c r="J36" s="27" t="b">
        <v>0</v>
      </c>
      <c r="K36" s="27" t="b">
        <v>0</v>
      </c>
      <c r="L36" s="58">
        <f t="shared" si="1"/>
        <v>350</v>
      </c>
      <c r="M36" s="59">
        <f t="shared" si="2"/>
        <v>0</v>
      </c>
      <c r="N36" s="59">
        <f t="shared" si="4"/>
        <v>0</v>
      </c>
      <c r="O36" s="59">
        <f t="shared" si="6"/>
        <v>0</v>
      </c>
      <c r="P36" s="59">
        <v>30</v>
      </c>
      <c r="Q36" s="60">
        <f t="shared" si="3"/>
        <v>380</v>
      </c>
    </row>
    <row r="37" spans="1:17" ht="21" customHeight="1" thickBot="1" x14ac:dyDescent="0.45">
      <c r="A37" s="18">
        <v>46203</v>
      </c>
      <c r="B37" s="53" t="s">
        <v>77</v>
      </c>
      <c r="C37" s="54" t="str" cm="1">
        <f t="array" ref="C37">_xlfn.XLOOKUP(B37,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Asif</v>
      </c>
      <c r="D37" s="65" t="s">
        <v>158</v>
      </c>
      <c r="E37" s="65" t="s">
        <v>198</v>
      </c>
      <c r="F37" s="66" t="s">
        <v>246</v>
      </c>
      <c r="G37" s="55" t="s">
        <v>1</v>
      </c>
      <c r="H37" s="56" t="s">
        <v>5</v>
      </c>
      <c r="I37" s="57" t="b">
        <f t="shared" si="0"/>
        <v>1</v>
      </c>
      <c r="J37" s="27" t="b">
        <v>0</v>
      </c>
      <c r="K37" s="27" t="b">
        <v>0</v>
      </c>
      <c r="L37" s="58">
        <f t="shared" si="1"/>
        <v>350</v>
      </c>
      <c r="M37" s="59">
        <f t="shared" si="2"/>
        <v>0</v>
      </c>
      <c r="N37" s="59">
        <f t="shared" si="4"/>
        <v>0</v>
      </c>
      <c r="O37" s="59">
        <f>IF(AND(I37=TRUE,J38=TRUE,K37=TRUE),0,0)</f>
        <v>0</v>
      </c>
      <c r="P37" s="59">
        <v>30</v>
      </c>
      <c r="Q37" s="60">
        <f t="shared" si="3"/>
        <v>380</v>
      </c>
    </row>
    <row r="38" spans="1:17" ht="16.5" thickBot="1" x14ac:dyDescent="0.45">
      <c r="A38" s="18">
        <v>46205</v>
      </c>
      <c r="B38" s="53" t="s">
        <v>25</v>
      </c>
      <c r="C38" s="54" t="str" cm="1">
        <f t="array" ref="C38">_xlfn.XLOOKUP(B38,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Mohammed Al Amin</v>
      </c>
      <c r="D38" s="65" t="s">
        <v>133</v>
      </c>
      <c r="E38" s="65" t="s">
        <v>199</v>
      </c>
      <c r="F38" s="66" t="s">
        <v>247</v>
      </c>
      <c r="G38" s="55" t="s">
        <v>1</v>
      </c>
      <c r="H38" s="56" t="s">
        <v>5</v>
      </c>
      <c r="I38" s="57" t="b">
        <f t="shared" si="0"/>
        <v>1</v>
      </c>
      <c r="J38" s="27" t="b">
        <v>1</v>
      </c>
      <c r="K38" s="27" t="b">
        <v>1</v>
      </c>
      <c r="L38" s="58">
        <f t="shared" si="1"/>
        <v>350</v>
      </c>
      <c r="M38" s="59">
        <f t="shared" si="2"/>
        <v>50</v>
      </c>
      <c r="N38" s="59">
        <f t="shared" si="4"/>
        <v>50</v>
      </c>
      <c r="O38" s="59">
        <f t="shared" si="6"/>
        <v>0</v>
      </c>
      <c r="P38" s="59">
        <v>30</v>
      </c>
      <c r="Q38" s="60">
        <f t="shared" si="3"/>
        <v>480</v>
      </c>
    </row>
    <row r="39" spans="1:17" ht="15.75" customHeight="1" thickBot="1" x14ac:dyDescent="0.45">
      <c r="A39" s="18">
        <v>46205</v>
      </c>
      <c r="B39" s="53" t="s">
        <v>83</v>
      </c>
      <c r="C39" s="54" t="str" cm="1">
        <f t="array" ref="C39">_xlfn.XLOOKUP(B39,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Abdul Barek Shanto</v>
      </c>
      <c r="D39" s="65" t="s">
        <v>119</v>
      </c>
      <c r="E39" s="65" t="s">
        <v>176</v>
      </c>
      <c r="F39" s="66" t="s">
        <v>248</v>
      </c>
      <c r="G39" s="55" t="s">
        <v>1</v>
      </c>
      <c r="H39" s="56" t="s">
        <v>5</v>
      </c>
      <c r="I39" s="57" t="b">
        <f t="shared" si="0"/>
        <v>1</v>
      </c>
      <c r="J39" s="27" t="b">
        <v>1</v>
      </c>
      <c r="K39" s="27" t="b">
        <v>0</v>
      </c>
      <c r="L39" s="58">
        <f t="shared" si="1"/>
        <v>350</v>
      </c>
      <c r="M39" s="59">
        <f t="shared" si="2"/>
        <v>50</v>
      </c>
      <c r="N39" s="59">
        <f t="shared" si="4"/>
        <v>0</v>
      </c>
      <c r="O39" s="59">
        <f t="shared" si="6"/>
        <v>0</v>
      </c>
      <c r="P39" s="59">
        <v>30</v>
      </c>
      <c r="Q39" s="60">
        <f t="shared" si="3"/>
        <v>430</v>
      </c>
    </row>
    <row r="40" spans="1:17" ht="15.75" customHeight="1" thickBot="1" x14ac:dyDescent="0.45">
      <c r="A40" s="18">
        <v>46205</v>
      </c>
      <c r="B40" s="53" t="s">
        <v>83</v>
      </c>
      <c r="C40" s="54" t="str" cm="1">
        <f t="array" ref="C40">_xlfn.XLOOKUP(B40,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Abdul Barek Shanto</v>
      </c>
      <c r="D40" s="65" t="s">
        <v>159</v>
      </c>
      <c r="E40" s="65" t="s">
        <v>174</v>
      </c>
      <c r="F40" s="66" t="s">
        <v>249</v>
      </c>
      <c r="G40" s="55" t="s">
        <v>1</v>
      </c>
      <c r="H40" s="56" t="s">
        <v>5</v>
      </c>
      <c r="I40" s="57" t="b">
        <f t="shared" si="0"/>
        <v>1</v>
      </c>
      <c r="J40" s="27" t="b">
        <v>0</v>
      </c>
      <c r="K40" s="27" t="b">
        <v>0</v>
      </c>
      <c r="L40" s="58">
        <f t="shared" si="1"/>
        <v>350</v>
      </c>
      <c r="M40" s="59">
        <f t="shared" si="2"/>
        <v>0</v>
      </c>
      <c r="N40" s="59">
        <f t="shared" si="4"/>
        <v>0</v>
      </c>
      <c r="O40" s="59">
        <f t="shared" si="6"/>
        <v>0</v>
      </c>
      <c r="P40" s="59">
        <v>30</v>
      </c>
      <c r="Q40" s="60">
        <f t="shared" si="3"/>
        <v>380</v>
      </c>
    </row>
    <row r="41" spans="1:17" ht="15.75" customHeight="1" thickBot="1" x14ac:dyDescent="0.45">
      <c r="A41" s="18">
        <v>46205</v>
      </c>
      <c r="B41" s="53" t="s">
        <v>41</v>
      </c>
      <c r="C41" s="54" t="str" cm="1">
        <f t="array" ref="C41">_xlfn.XLOOKUP(B41,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Mir Adil Mahmud</v>
      </c>
      <c r="D41" s="65" t="s">
        <v>116</v>
      </c>
      <c r="E41" s="65" t="s">
        <v>200</v>
      </c>
      <c r="F41" s="66" t="s">
        <v>250</v>
      </c>
      <c r="G41" s="55" t="s">
        <v>1</v>
      </c>
      <c r="H41" s="56" t="s">
        <v>5</v>
      </c>
      <c r="I41" s="57" t="b">
        <f t="shared" si="0"/>
        <v>1</v>
      </c>
      <c r="J41" s="27" t="b">
        <v>0</v>
      </c>
      <c r="K41" s="27" t="b">
        <v>0</v>
      </c>
      <c r="L41" s="58">
        <f t="shared" si="1"/>
        <v>350</v>
      </c>
      <c r="M41" s="59">
        <f t="shared" si="2"/>
        <v>0</v>
      </c>
      <c r="N41" s="59">
        <f t="shared" si="4"/>
        <v>0</v>
      </c>
      <c r="O41" s="59">
        <f t="shared" si="6"/>
        <v>0</v>
      </c>
      <c r="P41" s="59">
        <v>30</v>
      </c>
      <c r="Q41" s="60">
        <f t="shared" si="3"/>
        <v>380</v>
      </c>
    </row>
    <row r="42" spans="1:17" ht="15.75" customHeight="1" thickBot="1" x14ac:dyDescent="0.45">
      <c r="A42" s="18">
        <v>46205</v>
      </c>
      <c r="B42" s="53" t="s">
        <v>29</v>
      </c>
      <c r="C42" s="54" t="str" cm="1">
        <f t="array" ref="C42">_xlfn.XLOOKUP(B42,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Sadad Ahmed</v>
      </c>
      <c r="D42" s="65" t="s">
        <v>160</v>
      </c>
      <c r="E42" s="65" t="s">
        <v>201</v>
      </c>
      <c r="F42" s="66" t="s">
        <v>251</v>
      </c>
      <c r="G42" s="55" t="s">
        <v>1</v>
      </c>
      <c r="H42" s="56" t="s">
        <v>5</v>
      </c>
      <c r="I42" s="57" t="b">
        <f t="shared" si="0"/>
        <v>1</v>
      </c>
      <c r="J42" s="27" t="b">
        <v>1</v>
      </c>
      <c r="K42" s="27" t="b">
        <v>0</v>
      </c>
      <c r="L42" s="58">
        <f t="shared" si="1"/>
        <v>350</v>
      </c>
      <c r="M42" s="59">
        <f t="shared" si="2"/>
        <v>50</v>
      </c>
      <c r="N42" s="59">
        <f t="shared" si="4"/>
        <v>0</v>
      </c>
      <c r="O42" s="59">
        <f t="shared" si="6"/>
        <v>0</v>
      </c>
      <c r="P42" s="59">
        <v>30</v>
      </c>
      <c r="Q42" s="60">
        <f t="shared" si="3"/>
        <v>430</v>
      </c>
    </row>
    <row r="43" spans="1:17" ht="15.75" customHeight="1" thickBot="1" x14ac:dyDescent="0.45">
      <c r="A43" s="18">
        <v>46205</v>
      </c>
      <c r="B43" s="53" t="s">
        <v>55</v>
      </c>
      <c r="C43" s="54" t="str" cm="1">
        <f t="array" ref="C43">_xlfn.XLOOKUP(B43,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Adnan Saquib</v>
      </c>
      <c r="D43" s="65" t="s">
        <v>120</v>
      </c>
      <c r="E43" s="65" t="s">
        <v>202</v>
      </c>
      <c r="F43" s="66" t="s">
        <v>252</v>
      </c>
      <c r="G43" s="55" t="s">
        <v>1</v>
      </c>
      <c r="H43" s="56" t="s">
        <v>5</v>
      </c>
      <c r="I43" s="57" t="b">
        <f t="shared" si="0"/>
        <v>1</v>
      </c>
      <c r="J43" s="27" t="b">
        <v>0</v>
      </c>
      <c r="K43" s="27" t="b">
        <v>0</v>
      </c>
      <c r="L43" s="58">
        <f t="shared" si="1"/>
        <v>350</v>
      </c>
      <c r="M43" s="59">
        <f t="shared" si="2"/>
        <v>0</v>
      </c>
      <c r="N43" s="59">
        <f t="shared" si="4"/>
        <v>0</v>
      </c>
      <c r="O43" s="59">
        <f t="shared" si="6"/>
        <v>0</v>
      </c>
      <c r="P43" s="59">
        <v>30</v>
      </c>
      <c r="Q43" s="60">
        <f t="shared" si="3"/>
        <v>380</v>
      </c>
    </row>
    <row r="44" spans="1:17" ht="16.5" thickBot="1" x14ac:dyDescent="0.45">
      <c r="A44" s="18">
        <v>46205</v>
      </c>
      <c r="B44" s="53" t="s">
        <v>55</v>
      </c>
      <c r="C44" s="54" t="str" cm="1">
        <f t="array" ref="C44">_xlfn.XLOOKUP(B44,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Adnan Saquib</v>
      </c>
      <c r="D44" s="65" t="s">
        <v>161</v>
      </c>
      <c r="E44" s="65" t="s">
        <v>203</v>
      </c>
      <c r="F44" s="66" t="s">
        <v>253</v>
      </c>
      <c r="G44" s="55" t="s">
        <v>1</v>
      </c>
      <c r="H44" s="56" t="s">
        <v>5</v>
      </c>
      <c r="I44" s="57" t="b">
        <f t="shared" si="0"/>
        <v>1</v>
      </c>
      <c r="J44" s="27" t="b">
        <v>0</v>
      </c>
      <c r="K44" s="27" t="b">
        <v>0</v>
      </c>
      <c r="L44" s="58">
        <f t="shared" si="1"/>
        <v>350</v>
      </c>
      <c r="M44" s="59">
        <f t="shared" si="2"/>
        <v>0</v>
      </c>
      <c r="N44" s="59">
        <f t="shared" si="4"/>
        <v>0</v>
      </c>
      <c r="O44" s="59">
        <f t="shared" si="6"/>
        <v>0</v>
      </c>
      <c r="P44" s="59">
        <v>30</v>
      </c>
      <c r="Q44" s="60">
        <f t="shared" si="3"/>
        <v>380</v>
      </c>
    </row>
    <row r="45" spans="1:17" ht="15.75" customHeight="1" thickBot="1" x14ac:dyDescent="0.45">
      <c r="A45" s="18">
        <v>46205</v>
      </c>
      <c r="B45" s="53" t="s">
        <v>55</v>
      </c>
      <c r="C45" s="54" t="str" cm="1">
        <f t="array" ref="C45">_xlfn.XLOOKUP(B45,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Adnan Saquib</v>
      </c>
      <c r="D45" s="65" t="s">
        <v>162</v>
      </c>
      <c r="E45" s="65" t="s">
        <v>121</v>
      </c>
      <c r="F45" s="66" t="s">
        <v>254</v>
      </c>
      <c r="G45" s="55" t="s">
        <v>1</v>
      </c>
      <c r="H45" s="56" t="s">
        <v>5</v>
      </c>
      <c r="I45" s="57" t="b">
        <f t="shared" si="0"/>
        <v>1</v>
      </c>
      <c r="J45" s="27" t="b">
        <v>0</v>
      </c>
      <c r="K45" s="27" t="b">
        <v>0</v>
      </c>
      <c r="L45" s="58">
        <f t="shared" si="1"/>
        <v>350</v>
      </c>
      <c r="M45" s="59">
        <f t="shared" si="2"/>
        <v>0</v>
      </c>
      <c r="N45" s="59">
        <f t="shared" si="4"/>
        <v>0</v>
      </c>
      <c r="O45" s="59">
        <f t="shared" si="6"/>
        <v>0</v>
      </c>
      <c r="P45" s="59">
        <v>30</v>
      </c>
      <c r="Q45" s="60">
        <f t="shared" si="3"/>
        <v>380</v>
      </c>
    </row>
    <row r="46" spans="1:17" ht="15.75" customHeight="1" thickBot="1" x14ac:dyDescent="0.45">
      <c r="A46" s="18">
        <v>46205</v>
      </c>
      <c r="B46" s="53" t="s">
        <v>43</v>
      </c>
      <c r="C46" s="54" t="str" cm="1">
        <f t="array" ref="C46">_xlfn.XLOOKUP(B46,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Md Jubair Hossain</v>
      </c>
      <c r="D46" s="65" t="s">
        <v>163</v>
      </c>
      <c r="E46" s="65" t="s">
        <v>204</v>
      </c>
      <c r="F46" s="66" t="s">
        <v>255</v>
      </c>
      <c r="G46" s="55" t="s">
        <v>1</v>
      </c>
      <c r="H46" s="56" t="s">
        <v>5</v>
      </c>
      <c r="I46" s="57" t="b">
        <f t="shared" si="0"/>
        <v>1</v>
      </c>
      <c r="J46" s="27" t="b">
        <v>0</v>
      </c>
      <c r="K46" s="27" t="b">
        <v>0</v>
      </c>
      <c r="L46" s="58">
        <f t="shared" si="1"/>
        <v>350</v>
      </c>
      <c r="M46" s="59">
        <f t="shared" si="2"/>
        <v>0</v>
      </c>
      <c r="N46" s="59">
        <f t="shared" si="4"/>
        <v>0</v>
      </c>
      <c r="O46" s="59">
        <f>IF(AND(I46=TRUE,J47=TRUE,K46=TRUE),0,0)</f>
        <v>0</v>
      </c>
      <c r="P46" s="59">
        <v>30</v>
      </c>
      <c r="Q46" s="60">
        <f t="shared" si="3"/>
        <v>380</v>
      </c>
    </row>
    <row r="47" spans="1:17" ht="15.75" customHeight="1" thickBot="1" x14ac:dyDescent="0.45">
      <c r="A47" s="18">
        <v>46205</v>
      </c>
      <c r="B47" s="53" t="s">
        <v>43</v>
      </c>
      <c r="C47" s="54" t="str" cm="1">
        <f t="array" ref="C47">_xlfn.XLOOKUP(B47,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Md Jubair Hossain</v>
      </c>
      <c r="D47" s="65" t="s">
        <v>164</v>
      </c>
      <c r="E47" s="65" t="s">
        <v>172</v>
      </c>
      <c r="F47" s="66" t="s">
        <v>256</v>
      </c>
      <c r="G47" s="55" t="s">
        <v>1</v>
      </c>
      <c r="H47" s="56" t="s">
        <v>5</v>
      </c>
      <c r="I47" s="57" t="b">
        <f t="shared" si="0"/>
        <v>1</v>
      </c>
      <c r="J47" s="27" t="b">
        <v>0</v>
      </c>
      <c r="K47" s="27" t="b">
        <v>0</v>
      </c>
      <c r="L47" s="58">
        <f t="shared" si="1"/>
        <v>350</v>
      </c>
      <c r="M47" s="59">
        <f>IF(J47,50,0)</f>
        <v>0</v>
      </c>
      <c r="N47" s="59">
        <f t="shared" si="4"/>
        <v>0</v>
      </c>
      <c r="O47" s="59">
        <f t="shared" si="6"/>
        <v>0</v>
      </c>
      <c r="P47" s="59">
        <v>30</v>
      </c>
      <c r="Q47" s="60">
        <f t="shared" si="3"/>
        <v>380</v>
      </c>
    </row>
    <row r="48" spans="1:17" ht="15.75" customHeight="1" thickBot="1" x14ac:dyDescent="0.45">
      <c r="A48" s="18">
        <v>46205</v>
      </c>
      <c r="B48" s="53" t="s">
        <v>51</v>
      </c>
      <c r="C48" s="54" t="str" cm="1">
        <f t="array" ref="C48">_xlfn.XLOOKUP(B48,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Imran Jahur Emon</v>
      </c>
      <c r="D48" s="65" t="s">
        <v>165</v>
      </c>
      <c r="E48" s="65" t="s">
        <v>205</v>
      </c>
      <c r="F48" s="66" t="s">
        <v>257</v>
      </c>
      <c r="G48" s="55" t="s">
        <v>1</v>
      </c>
      <c r="H48" s="56" t="s">
        <v>5</v>
      </c>
      <c r="I48" s="57" t="b">
        <f t="shared" si="0"/>
        <v>1</v>
      </c>
      <c r="J48" s="27" t="b">
        <v>0</v>
      </c>
      <c r="K48" s="27" t="b">
        <v>0</v>
      </c>
      <c r="L48" s="58">
        <f t="shared" si="1"/>
        <v>350</v>
      </c>
      <c r="M48" s="59">
        <f t="shared" si="2"/>
        <v>0</v>
      </c>
      <c r="N48" s="59">
        <f t="shared" si="4"/>
        <v>0</v>
      </c>
      <c r="O48" s="59">
        <f t="shared" si="6"/>
        <v>0</v>
      </c>
      <c r="P48" s="59">
        <v>30</v>
      </c>
      <c r="Q48" s="60">
        <f t="shared" si="3"/>
        <v>380</v>
      </c>
    </row>
    <row r="49" spans="1:17" ht="15.75" customHeight="1" thickBot="1" x14ac:dyDescent="0.45">
      <c r="A49" s="18">
        <v>46205</v>
      </c>
      <c r="B49" s="53" t="s">
        <v>51</v>
      </c>
      <c r="C49" s="54" t="str" cm="1">
        <f t="array" ref="C49">_xlfn.XLOOKUP(B49,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Imran Jahur Emon</v>
      </c>
      <c r="D49" s="65" t="s">
        <v>125</v>
      </c>
      <c r="E49" s="65" t="s">
        <v>127</v>
      </c>
      <c r="F49" s="66" t="s">
        <v>258</v>
      </c>
      <c r="G49" s="55" t="s">
        <v>1</v>
      </c>
      <c r="H49" s="56" t="s">
        <v>5</v>
      </c>
      <c r="I49" s="57" t="b">
        <f t="shared" si="0"/>
        <v>1</v>
      </c>
      <c r="J49" s="27" t="b">
        <v>0</v>
      </c>
      <c r="K49" s="27" t="b">
        <v>0</v>
      </c>
      <c r="L49" s="58">
        <f t="shared" si="1"/>
        <v>350</v>
      </c>
      <c r="M49" s="59">
        <f t="shared" si="2"/>
        <v>0</v>
      </c>
      <c r="N49" s="59">
        <f t="shared" si="4"/>
        <v>0</v>
      </c>
      <c r="O49" s="59">
        <f t="shared" si="6"/>
        <v>0</v>
      </c>
      <c r="P49" s="59">
        <v>30</v>
      </c>
      <c r="Q49" s="60">
        <f t="shared" si="3"/>
        <v>380</v>
      </c>
    </row>
    <row r="50" spans="1:17" ht="15.75" customHeight="1" thickBot="1" x14ac:dyDescent="0.45">
      <c r="A50" s="18">
        <v>46205</v>
      </c>
      <c r="B50" s="53" t="s">
        <v>43</v>
      </c>
      <c r="C50" s="54" t="str" cm="1">
        <f t="array" ref="C50">_xlfn.XLOOKUP(B50,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Md Jubair Hossain</v>
      </c>
      <c r="D50" s="65" t="s">
        <v>166</v>
      </c>
      <c r="E50" s="65" t="s">
        <v>206</v>
      </c>
      <c r="F50" s="66" t="s">
        <v>259</v>
      </c>
      <c r="G50" s="55" t="s">
        <v>1</v>
      </c>
      <c r="H50" s="56" t="s">
        <v>5</v>
      </c>
      <c r="I50" s="57" t="b">
        <f t="shared" si="0"/>
        <v>1</v>
      </c>
      <c r="J50" s="27" t="b">
        <v>0</v>
      </c>
      <c r="K50" s="27" t="b">
        <v>0</v>
      </c>
      <c r="L50" s="58">
        <f t="shared" si="1"/>
        <v>350</v>
      </c>
      <c r="M50" s="59">
        <f t="shared" si="2"/>
        <v>0</v>
      </c>
      <c r="N50" s="59">
        <f t="shared" si="4"/>
        <v>0</v>
      </c>
      <c r="O50" s="59">
        <f t="shared" si="6"/>
        <v>0</v>
      </c>
      <c r="P50" s="59">
        <v>30</v>
      </c>
      <c r="Q50" s="60">
        <f t="shared" si="3"/>
        <v>380</v>
      </c>
    </row>
    <row r="51" spans="1:17" ht="15.75" customHeight="1" thickBot="1" x14ac:dyDescent="0.45">
      <c r="A51" s="18">
        <v>46205</v>
      </c>
      <c r="B51" s="53" t="s">
        <v>23</v>
      </c>
      <c r="C51" s="54" t="str" cm="1">
        <f t="array" ref="C51">_xlfn.XLOOKUP(B51,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Md Rafiqul Islam</v>
      </c>
      <c r="D51" s="65" t="s">
        <v>132</v>
      </c>
      <c r="E51" s="65" t="s">
        <v>207</v>
      </c>
      <c r="F51" s="66" t="s">
        <v>260</v>
      </c>
      <c r="G51" s="55" t="s">
        <v>1</v>
      </c>
      <c r="H51" s="56" t="s">
        <v>5</v>
      </c>
      <c r="I51" s="57" t="b">
        <f t="shared" si="0"/>
        <v>1</v>
      </c>
      <c r="J51" s="27" t="b">
        <v>0</v>
      </c>
      <c r="K51" s="27" t="b">
        <v>0</v>
      </c>
      <c r="L51" s="58">
        <f t="shared" si="1"/>
        <v>350</v>
      </c>
      <c r="M51" s="59">
        <f t="shared" si="2"/>
        <v>0</v>
      </c>
      <c r="N51" s="59">
        <f t="shared" si="4"/>
        <v>0</v>
      </c>
      <c r="O51" s="59">
        <f t="shared" si="6"/>
        <v>0</v>
      </c>
      <c r="P51" s="59">
        <v>30</v>
      </c>
      <c r="Q51" s="60">
        <f t="shared" si="3"/>
        <v>380</v>
      </c>
    </row>
    <row r="52" spans="1:17" ht="15.75" customHeight="1" thickBot="1" x14ac:dyDescent="0.45">
      <c r="A52" s="18">
        <v>46205</v>
      </c>
      <c r="B52" s="53" t="s">
        <v>65</v>
      </c>
      <c r="C52" s="54" t="str" cm="1">
        <f t="array" ref="C52">_xlfn.XLOOKUP(B52,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Minhaz Monsur</v>
      </c>
      <c r="D52" s="65" t="s">
        <v>167</v>
      </c>
      <c r="E52" s="65" t="s">
        <v>208</v>
      </c>
      <c r="F52" s="66" t="s">
        <v>261</v>
      </c>
      <c r="G52" s="55" t="s">
        <v>1</v>
      </c>
      <c r="H52" s="56" t="s">
        <v>5</v>
      </c>
      <c r="I52" s="57" t="b">
        <f t="shared" si="0"/>
        <v>1</v>
      </c>
      <c r="J52" s="27" t="b">
        <v>0</v>
      </c>
      <c r="K52" s="27" t="b">
        <v>0</v>
      </c>
      <c r="L52" s="58">
        <f t="shared" si="1"/>
        <v>350</v>
      </c>
      <c r="M52" s="59">
        <f t="shared" si="2"/>
        <v>0</v>
      </c>
      <c r="N52" s="59">
        <f t="shared" si="4"/>
        <v>0</v>
      </c>
      <c r="O52" s="59">
        <f t="shared" si="6"/>
        <v>0</v>
      </c>
      <c r="P52" s="59">
        <v>30</v>
      </c>
      <c r="Q52" s="60">
        <f t="shared" si="3"/>
        <v>380</v>
      </c>
    </row>
    <row r="53" spans="1:17" ht="15.75" customHeight="1" thickBot="1" x14ac:dyDescent="0.45">
      <c r="A53" s="18">
        <v>46205</v>
      </c>
      <c r="B53" s="53" t="s">
        <v>65</v>
      </c>
      <c r="C53" s="54" t="str" cm="1">
        <f t="array" ref="C53">_xlfn.XLOOKUP(B53,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Minhaz Monsur</v>
      </c>
      <c r="D53" s="65" t="s">
        <v>168</v>
      </c>
      <c r="E53" s="65" t="s">
        <v>209</v>
      </c>
      <c r="F53" s="66" t="s">
        <v>262</v>
      </c>
      <c r="G53" s="55" t="s">
        <v>1</v>
      </c>
      <c r="H53" s="56" t="s">
        <v>5</v>
      </c>
      <c r="I53" s="57" t="b">
        <f t="shared" si="0"/>
        <v>1</v>
      </c>
      <c r="J53" s="27" t="b">
        <v>1</v>
      </c>
      <c r="K53" s="27" t="b">
        <v>0</v>
      </c>
      <c r="L53" s="58">
        <f t="shared" si="1"/>
        <v>350</v>
      </c>
      <c r="M53" s="59">
        <f t="shared" si="2"/>
        <v>50</v>
      </c>
      <c r="N53" s="59">
        <f t="shared" si="4"/>
        <v>0</v>
      </c>
      <c r="O53" s="59">
        <f t="shared" si="6"/>
        <v>0</v>
      </c>
      <c r="P53" s="59">
        <v>30</v>
      </c>
      <c r="Q53" s="60">
        <f t="shared" si="3"/>
        <v>430</v>
      </c>
    </row>
    <row r="54" spans="1:17" ht="15.75" customHeight="1" thickBot="1" x14ac:dyDescent="0.45">
      <c r="A54" s="18">
        <v>46205</v>
      </c>
      <c r="B54" s="53" t="s">
        <v>65</v>
      </c>
      <c r="C54" s="54" t="str" cm="1">
        <f t="array" ref="C54">_xlfn.XLOOKUP(B54,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Minhaz Monsur</v>
      </c>
      <c r="D54" s="65" t="s">
        <v>169</v>
      </c>
      <c r="E54" s="65" t="s">
        <v>112</v>
      </c>
      <c r="F54" s="66" t="s">
        <v>263</v>
      </c>
      <c r="G54" s="55" t="s">
        <v>1</v>
      </c>
      <c r="H54" s="56" t="s">
        <v>5</v>
      </c>
      <c r="I54" s="57" t="b">
        <f t="shared" si="0"/>
        <v>1</v>
      </c>
      <c r="J54" s="27" t="b">
        <v>0</v>
      </c>
      <c r="K54" s="27" t="b">
        <v>0</v>
      </c>
      <c r="L54" s="58">
        <f t="shared" si="1"/>
        <v>350</v>
      </c>
      <c r="M54" s="59">
        <f t="shared" si="2"/>
        <v>0</v>
      </c>
      <c r="N54" s="59">
        <f t="shared" si="4"/>
        <v>0</v>
      </c>
      <c r="O54" s="59">
        <f t="shared" si="6"/>
        <v>0</v>
      </c>
      <c r="P54" s="59">
        <v>30</v>
      </c>
      <c r="Q54" s="60">
        <f t="shared" si="3"/>
        <v>380</v>
      </c>
    </row>
    <row r="55" spans="1:17" ht="15.75" customHeight="1" thickBot="1" x14ac:dyDescent="0.45">
      <c r="A55" s="18">
        <v>46205</v>
      </c>
      <c r="B55" s="53" t="s">
        <v>53</v>
      </c>
      <c r="C55" s="54" t="str" cm="1">
        <f t="array" ref="C55">_xlfn.XLOOKUP(B55,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Arfin Rifat</v>
      </c>
      <c r="D55" s="65" t="s">
        <v>138</v>
      </c>
      <c r="E55" s="65" t="s">
        <v>210</v>
      </c>
      <c r="F55" s="66" t="s">
        <v>264</v>
      </c>
      <c r="G55" s="55" t="s">
        <v>1</v>
      </c>
      <c r="H55" s="56" t="s">
        <v>5</v>
      </c>
      <c r="I55" s="57" t="b">
        <f t="shared" si="0"/>
        <v>1</v>
      </c>
      <c r="J55" s="27" t="b">
        <v>0</v>
      </c>
      <c r="K55" s="27" t="b">
        <v>1</v>
      </c>
      <c r="L55" s="58">
        <f t="shared" si="1"/>
        <v>350</v>
      </c>
      <c r="M55" s="59">
        <f t="shared" si="2"/>
        <v>0</v>
      </c>
      <c r="N55" s="59">
        <f t="shared" si="4"/>
        <v>50</v>
      </c>
      <c r="O55" s="59">
        <f t="shared" si="6"/>
        <v>0</v>
      </c>
      <c r="P55" s="59">
        <v>30</v>
      </c>
      <c r="Q55" s="60">
        <f t="shared" si="3"/>
        <v>430</v>
      </c>
    </row>
    <row r="56" spans="1:17" ht="15.75" customHeight="1" thickBot="1" x14ac:dyDescent="0.45">
      <c r="A56" s="18">
        <v>46205</v>
      </c>
      <c r="B56" s="53" t="s">
        <v>55</v>
      </c>
      <c r="C56" s="54" t="str" cm="1">
        <f t="array" ref="C56">_xlfn.XLOOKUP(B56,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Adnan Saquib</v>
      </c>
      <c r="D56" s="65" t="s">
        <v>170</v>
      </c>
      <c r="E56" s="65" t="s">
        <v>211</v>
      </c>
      <c r="F56" s="66" t="s">
        <v>265</v>
      </c>
      <c r="G56" s="55" t="s">
        <v>1</v>
      </c>
      <c r="H56" s="56" t="s">
        <v>5</v>
      </c>
      <c r="I56" s="57" t="b">
        <f t="shared" si="0"/>
        <v>1</v>
      </c>
      <c r="J56" s="27" t="b">
        <v>0</v>
      </c>
      <c r="K56" s="27" t="b">
        <v>0</v>
      </c>
      <c r="L56" s="58">
        <f t="shared" si="1"/>
        <v>350</v>
      </c>
      <c r="M56" s="59">
        <f t="shared" si="2"/>
        <v>0</v>
      </c>
      <c r="N56" s="59">
        <f t="shared" si="4"/>
        <v>0</v>
      </c>
      <c r="O56" s="59">
        <f t="shared" si="6"/>
        <v>0</v>
      </c>
      <c r="P56" s="59">
        <v>30</v>
      </c>
      <c r="Q56" s="60">
        <f t="shared" si="3"/>
        <v>380</v>
      </c>
    </row>
    <row r="57" spans="1:17" ht="15.75" customHeight="1" thickBot="1" x14ac:dyDescent="0.45">
      <c r="A57" s="18">
        <v>46205</v>
      </c>
      <c r="B57" s="64" t="s">
        <v>49</v>
      </c>
      <c r="C57" s="61" t="str" cm="1">
        <f t="array" ref="C57">_xlfn.XLOOKUP(B57,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Sadrul Nihad (Pasha)</v>
      </c>
      <c r="D57" s="65" t="s">
        <v>140</v>
      </c>
      <c r="E57" s="65" t="s">
        <v>117</v>
      </c>
      <c r="F57" s="66" t="s">
        <v>266</v>
      </c>
      <c r="G57" s="55" t="s">
        <v>1</v>
      </c>
      <c r="H57" s="56" t="s">
        <v>5</v>
      </c>
      <c r="I57" s="57" t="b">
        <f t="shared" si="0"/>
        <v>1</v>
      </c>
      <c r="J57" s="27" t="b">
        <v>1</v>
      </c>
      <c r="K57" s="27" t="b">
        <v>0</v>
      </c>
      <c r="L57" s="58">
        <f t="shared" si="1"/>
        <v>350</v>
      </c>
      <c r="M57" s="59">
        <f t="shared" si="2"/>
        <v>50</v>
      </c>
      <c r="N57" s="59">
        <f t="shared" si="4"/>
        <v>0</v>
      </c>
      <c r="O57" s="59">
        <f>IF(AND(I57=TRUE,J58=TRUE,K57=TRUE),0,0)</f>
        <v>0</v>
      </c>
      <c r="P57" s="59">
        <v>30</v>
      </c>
      <c r="Q57" s="60">
        <f t="shared" si="3"/>
        <v>430</v>
      </c>
    </row>
    <row r="58" spans="1:17" ht="15.75" customHeight="1" thickBot="1" x14ac:dyDescent="0.45">
      <c r="A58" s="18">
        <v>46205</v>
      </c>
      <c r="B58" s="53" t="s">
        <v>37</v>
      </c>
      <c r="C58" s="54" t="str" cm="1">
        <f t="array" ref="C58">_xlfn.XLOOKUP(B58,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Leo Ouimet</v>
      </c>
      <c r="D58" s="65" t="s">
        <v>171</v>
      </c>
      <c r="E58" s="65" t="s">
        <v>123</v>
      </c>
      <c r="F58" s="66" t="s">
        <v>267</v>
      </c>
      <c r="G58" s="55" t="s">
        <v>1</v>
      </c>
      <c r="H58" s="56" t="s">
        <v>5</v>
      </c>
      <c r="I58" s="57" t="b">
        <f t="shared" si="0"/>
        <v>1</v>
      </c>
      <c r="J58" s="27" t="b">
        <v>0</v>
      </c>
      <c r="K58" s="27" t="b">
        <v>0</v>
      </c>
      <c r="L58" s="58">
        <f t="shared" si="1"/>
        <v>350</v>
      </c>
      <c r="M58" s="59">
        <f>IF(J58,50,0)</f>
        <v>0</v>
      </c>
      <c r="N58" s="59">
        <f>IF(K58,50,0)</f>
        <v>0</v>
      </c>
      <c r="O58" s="59">
        <f>IF(AND(I58=TRUE,J59=TRUE,K58=TRUE),0,0)</f>
        <v>0</v>
      </c>
      <c r="P58" s="59">
        <v>30</v>
      </c>
      <c r="Q58" s="60">
        <f t="shared" si="3"/>
        <v>380</v>
      </c>
    </row>
    <row r="59" spans="1:17" ht="15.75" customHeight="1" x14ac:dyDescent="0.4">
      <c r="A59" s="18"/>
      <c r="B59" s="17"/>
      <c r="C59" s="41" t="str" cm="1">
        <f t="array" ref="C59">_xlfn.XLOOKUP(B59,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
      </c>
      <c r="D59" s="20"/>
      <c r="E59" s="16"/>
      <c r="F59" s="23"/>
      <c r="G59" s="43"/>
      <c r="H59" s="9"/>
      <c r="I59" s="28" t="str">
        <f t="shared" ref="I59:I61" si="7">IF(TRIM(H59)="Fibre 150mb/300mb",TRUE,IF(TRIM(H59)="Fibre 500mb/650mb",TRUE,IF(OR(TRIM(H59)="Fibre 1gig/2.5gig",TRIM(H59)="RF Fibre 1gig/2.5gig"),TRUE,IF(TRIM(H59)="WI Internet 25/5",TRUE,IF(TRIM(H59)="WI Internet 50/10",TRUE,IF(TRIM(H59)="Business Internet 150",TRUE,IF(TRIM(H59)="Business Internet 500/1gig",TRUE,"")))))))</f>
        <v/>
      </c>
      <c r="J59" s="27"/>
      <c r="K59" s="27"/>
      <c r="L59" s="29" t="str">
        <f t="shared" ref="L59:L61" si="8">IF(COUNTIF(H59,"Fibre 150mb/300mb*"),280,IF(COUNTIF(H59,"Fibre 500mb/650mb*"),340,IF(COUNTIF(H59,"RF Fibre 1gig/2.5gig*"),365,IF(COUNTIF(H59,"Fibre 1gig/2.5gig*"),350,IF(COUNTIF(H59,"WI Internet 25/5*"),380,IF(COUNTIF(H59,"WI Internet 50/10*"),380,IF(COUNTIF(H59,"Business Internet 150*"),400,IF(COUNTIF(H59,"Business Internet 500/1gig*"),450,""))))))))</f>
        <v/>
      </c>
      <c r="M59" s="12">
        <f t="shared" ref="M59:N64" si="9">IF(J59,50,0)</f>
        <v>0</v>
      </c>
      <c r="N59" s="12">
        <f t="shared" si="9"/>
        <v>0</v>
      </c>
      <c r="O59" s="12">
        <f t="shared" ref="O59:O63" si="10">IF(AND(I59=TRUE,J60=TRUE,K59=TRUE),0,0)</f>
        <v>0</v>
      </c>
      <c r="P59" s="16"/>
      <c r="Q59" s="4">
        <f t="shared" ref="Q59:Q61" si="11">SUM(L59:P59)</f>
        <v>0</v>
      </c>
    </row>
    <row r="60" spans="1:17" ht="15.75" customHeight="1" x14ac:dyDescent="0.4">
      <c r="A60" s="18"/>
      <c r="B60" s="17"/>
      <c r="C60" s="41" t="str" cm="1">
        <f t="array" ref="C60">_xlfn.XLOOKUP(B60,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
      </c>
      <c r="D60" s="20"/>
      <c r="E60" s="16"/>
      <c r="F60" s="23"/>
      <c r="G60" s="43"/>
      <c r="H60" s="9"/>
      <c r="I60" s="28" t="str">
        <f t="shared" si="7"/>
        <v/>
      </c>
      <c r="J60" s="27"/>
      <c r="K60" s="27"/>
      <c r="L60" s="29" t="str">
        <f t="shared" si="8"/>
        <v/>
      </c>
      <c r="M60" s="12">
        <f t="shared" si="9"/>
        <v>0</v>
      </c>
      <c r="N60" s="12">
        <f t="shared" si="9"/>
        <v>0</v>
      </c>
      <c r="O60" s="12">
        <f t="shared" si="10"/>
        <v>0</v>
      </c>
      <c r="P60" s="16"/>
      <c r="Q60" s="4">
        <f t="shared" si="11"/>
        <v>0</v>
      </c>
    </row>
    <row r="61" spans="1:17" ht="15.75" customHeight="1" x14ac:dyDescent="0.4">
      <c r="A61" s="18"/>
      <c r="B61" s="17"/>
      <c r="C61" s="41" t="str" cm="1">
        <f t="array" ref="C61">_xlfn.XLOOKUP(B61,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
      </c>
      <c r="D61" s="20"/>
      <c r="E61" s="16"/>
      <c r="F61" s="23"/>
      <c r="G61" s="43"/>
      <c r="H61" s="9"/>
      <c r="I61" s="28" t="str">
        <f t="shared" si="7"/>
        <v/>
      </c>
      <c r="J61" s="27"/>
      <c r="K61" s="27"/>
      <c r="L61" s="29" t="str">
        <f t="shared" si="8"/>
        <v/>
      </c>
      <c r="M61" s="12">
        <f t="shared" si="9"/>
        <v>0</v>
      </c>
      <c r="N61" s="12">
        <f t="shared" si="9"/>
        <v>0</v>
      </c>
      <c r="O61" s="12">
        <f t="shared" si="10"/>
        <v>0</v>
      </c>
      <c r="P61" s="16"/>
      <c r="Q61" s="4">
        <f t="shared" si="11"/>
        <v>0</v>
      </c>
    </row>
    <row r="62" spans="1:17" ht="15.75" customHeight="1" x14ac:dyDescent="0.4">
      <c r="A62" s="18"/>
      <c r="B62" s="17"/>
      <c r="C62" s="41" t="str" cm="1">
        <f t="array" ref="C62">_xlfn.XLOOKUP(B62,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
      </c>
      <c r="D62" s="20"/>
      <c r="E62" s="16"/>
      <c r="F62" s="23"/>
      <c r="G62" s="43"/>
      <c r="H62" s="9"/>
      <c r="I62" s="28" t="str">
        <f t="shared" ref="I62:I78" si="12">IF(TRIM(H62)="Fibre 150mb/300mb",TRUE,IF(TRIM(H62)="Fibre 500mb/650mb",TRUE,IF(OR(TRIM(H62)="Fibre 1gig/2.5gig",TRIM(H62)="RF Fibre 1gig/2.5gig"),TRUE,IF(TRIM(H62)="WI Internet 25/5",TRUE,IF(TRIM(H62)="WI Internet 50/10",TRUE,IF(TRIM(H62)="Business Internet 150",TRUE,IF(TRIM(H62)="Business Internet 500/1gig",TRUE,"")))))))</f>
        <v/>
      </c>
      <c r="J62" s="27"/>
      <c r="K62" s="27"/>
      <c r="L62" s="29" t="str">
        <f t="shared" ref="L62:L78" si="13">IF(COUNTIF(H62,"Fibre 150mb/300mb*"),280,IF(COUNTIF(H62,"Fibre 500mb/650mb*"),340,IF(COUNTIF(H62,"RF Fibre 1gig/2.5gig*"),365,IF(COUNTIF(H62,"Fibre 1gig/2.5gig*"),350,IF(COUNTIF(H62,"WI Internet 25/5*"),380,IF(COUNTIF(H62,"WI Internet 50/10*"),380,IF(COUNTIF(H62,"Business Internet 150*"),400,IF(COUNTIF(H62,"Business Internet 500/1gig*"),450,""))))))))</f>
        <v/>
      </c>
      <c r="M62" s="12">
        <f t="shared" si="9"/>
        <v>0</v>
      </c>
      <c r="N62" s="12">
        <f t="shared" si="9"/>
        <v>0</v>
      </c>
      <c r="O62" s="12">
        <f t="shared" si="10"/>
        <v>0</v>
      </c>
      <c r="P62" s="16"/>
      <c r="Q62" s="4">
        <f t="shared" ref="Q62:Q78" si="14">SUM(L62:P62)</f>
        <v>0</v>
      </c>
    </row>
    <row r="63" spans="1:17" ht="15.75" customHeight="1" x14ac:dyDescent="0.4">
      <c r="A63" s="18"/>
      <c r="B63" s="17"/>
      <c r="C63" s="41" t="str" cm="1">
        <f t="array" ref="C63">_xlfn.XLOOKUP(B63,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
      </c>
      <c r="D63" s="20"/>
      <c r="E63" s="16"/>
      <c r="F63" s="23"/>
      <c r="G63" s="43"/>
      <c r="H63" s="9"/>
      <c r="I63" s="28" t="str">
        <f t="shared" si="12"/>
        <v/>
      </c>
      <c r="J63" s="27"/>
      <c r="K63" s="27"/>
      <c r="L63" s="29" t="str">
        <f t="shared" si="13"/>
        <v/>
      </c>
      <c r="M63" s="12">
        <f t="shared" si="9"/>
        <v>0</v>
      </c>
      <c r="N63" s="12">
        <f t="shared" si="9"/>
        <v>0</v>
      </c>
      <c r="O63" s="12">
        <f t="shared" si="10"/>
        <v>0</v>
      </c>
      <c r="P63" s="16"/>
      <c r="Q63" s="4">
        <f t="shared" si="14"/>
        <v>0</v>
      </c>
    </row>
    <row r="64" spans="1:17" ht="15.75" customHeight="1" x14ac:dyDescent="0.4">
      <c r="A64" s="18"/>
      <c r="B64" s="17"/>
      <c r="C64" s="41" t="str" cm="1">
        <f t="array" ref="C64">_xlfn.XLOOKUP(B64,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
      </c>
      <c r="D64" s="20"/>
      <c r="E64" s="16"/>
      <c r="F64" s="23"/>
      <c r="G64" s="43"/>
      <c r="H64" s="9"/>
      <c r="I64" s="28" t="str">
        <f t="shared" si="12"/>
        <v/>
      </c>
      <c r="J64" s="27"/>
      <c r="K64" s="27"/>
      <c r="L64" s="29" t="str">
        <f t="shared" si="13"/>
        <v/>
      </c>
      <c r="M64" s="12">
        <f t="shared" si="9"/>
        <v>0</v>
      </c>
      <c r="N64" s="12">
        <f t="shared" si="9"/>
        <v>0</v>
      </c>
      <c r="O64" s="12">
        <f t="shared" ref="O64:O78" si="15">IF(AND(I64=TRUE,J65=TRUE,K64=TRUE),0,0)</f>
        <v>0</v>
      </c>
      <c r="P64" s="16"/>
      <c r="Q64" s="4">
        <f t="shared" si="14"/>
        <v>0</v>
      </c>
    </row>
    <row r="65" spans="1:17" ht="15.75" customHeight="1" x14ac:dyDescent="0.4">
      <c r="A65" s="18"/>
      <c r="B65" s="17"/>
      <c r="C65" s="41" t="str" cm="1">
        <f t="array" ref="C65">_xlfn.XLOOKUP(B65,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
      </c>
      <c r="D65" s="20"/>
      <c r="E65" s="16"/>
      <c r="F65" s="23"/>
      <c r="G65" s="43"/>
      <c r="H65" s="9"/>
      <c r="I65" s="28" t="str">
        <f t="shared" si="12"/>
        <v/>
      </c>
      <c r="J65" s="27"/>
      <c r="K65" s="27"/>
      <c r="L65" s="29" t="str">
        <f t="shared" si="13"/>
        <v/>
      </c>
      <c r="M65" s="12">
        <f t="shared" ref="M65:N78" si="16">IF(J65,50,0)</f>
        <v>0</v>
      </c>
      <c r="N65" s="12">
        <f t="shared" si="16"/>
        <v>0</v>
      </c>
      <c r="O65" s="12">
        <f t="shared" si="15"/>
        <v>0</v>
      </c>
      <c r="P65" s="16"/>
      <c r="Q65" s="4">
        <f t="shared" si="14"/>
        <v>0</v>
      </c>
    </row>
    <row r="66" spans="1:17" ht="15.75" customHeight="1" x14ac:dyDescent="0.4">
      <c r="A66" s="18"/>
      <c r="B66" s="17"/>
      <c r="C66" s="41" t="str" cm="1">
        <f t="array" ref="C66">_xlfn.XLOOKUP(B66,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
      </c>
      <c r="D66" s="20"/>
      <c r="E66" s="16"/>
      <c r="F66" s="23"/>
      <c r="G66" s="43"/>
      <c r="H66" s="9"/>
      <c r="I66" s="28" t="str">
        <f t="shared" si="12"/>
        <v/>
      </c>
      <c r="J66" s="27"/>
      <c r="K66" s="27"/>
      <c r="L66" s="29" t="str">
        <f t="shared" si="13"/>
        <v/>
      </c>
      <c r="M66" s="12">
        <f t="shared" si="16"/>
        <v>0</v>
      </c>
      <c r="N66" s="12">
        <f t="shared" si="16"/>
        <v>0</v>
      </c>
      <c r="O66" s="12">
        <f t="shared" si="15"/>
        <v>0</v>
      </c>
      <c r="P66" s="16"/>
      <c r="Q66" s="4">
        <f t="shared" si="14"/>
        <v>0</v>
      </c>
    </row>
    <row r="67" spans="1:17" ht="15.75" customHeight="1" x14ac:dyDescent="0.4">
      <c r="A67" s="18"/>
      <c r="B67" s="17"/>
      <c r="C67" s="41" t="str" cm="1">
        <f t="array" ref="C67">_xlfn.XLOOKUP(B67,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
"")</f>
        <v/>
      </c>
      <c r="D67" s="20"/>
      <c r="E67" s="16"/>
      <c r="F67" s="23"/>
      <c r="G67" s="43"/>
      <c r="H67" s="9"/>
      <c r="I67" s="28" t="str">
        <f t="shared" si="12"/>
        <v/>
      </c>
      <c r="J67" s="27"/>
      <c r="K67" s="27"/>
      <c r="L67" s="29" t="str">
        <f t="shared" si="13"/>
        <v/>
      </c>
      <c r="M67" s="12">
        <f t="shared" si="16"/>
        <v>0</v>
      </c>
      <c r="N67" s="12">
        <f t="shared" si="16"/>
        <v>0</v>
      </c>
      <c r="O67" s="12">
        <f t="shared" si="15"/>
        <v>0</v>
      </c>
      <c r="P67" s="16"/>
      <c r="Q67" s="4">
        <f t="shared" si="14"/>
        <v>0</v>
      </c>
    </row>
    <row r="68" spans="1:17" ht="15.75" customHeight="1" x14ac:dyDescent="0.4">
      <c r="A68" s="42"/>
      <c r="B68" s="16"/>
      <c r="C68" s="16"/>
      <c r="D68" s="20"/>
      <c r="E68" s="16"/>
      <c r="F68" s="23"/>
      <c r="G68" s="43"/>
      <c r="H68" s="9"/>
      <c r="I68" s="28" t="str">
        <f t="shared" si="12"/>
        <v/>
      </c>
      <c r="J68" s="27"/>
      <c r="K68" s="27"/>
      <c r="L68" s="29" t="str">
        <f t="shared" si="13"/>
        <v/>
      </c>
      <c r="M68" s="12">
        <f t="shared" si="16"/>
        <v>0</v>
      </c>
      <c r="N68" s="12">
        <f t="shared" si="16"/>
        <v>0</v>
      </c>
      <c r="O68" s="12">
        <f t="shared" si="15"/>
        <v>0</v>
      </c>
      <c r="P68" s="16"/>
      <c r="Q68" s="4">
        <f t="shared" si="14"/>
        <v>0</v>
      </c>
    </row>
    <row r="69" spans="1:17" ht="15.75" customHeight="1" x14ac:dyDescent="0.4">
      <c r="A69" s="42"/>
      <c r="B69" s="16"/>
      <c r="C69" s="16"/>
      <c r="D69" s="20"/>
      <c r="E69" s="16"/>
      <c r="F69" s="23"/>
      <c r="G69" s="43"/>
      <c r="H69" s="9"/>
      <c r="I69" s="28" t="str">
        <f t="shared" si="12"/>
        <v/>
      </c>
      <c r="J69" s="27"/>
      <c r="K69" s="27"/>
      <c r="L69" s="29" t="str">
        <f t="shared" si="13"/>
        <v/>
      </c>
      <c r="M69" s="12">
        <f t="shared" si="16"/>
        <v>0</v>
      </c>
      <c r="N69" s="12">
        <f t="shared" si="16"/>
        <v>0</v>
      </c>
      <c r="O69" s="12">
        <f t="shared" si="15"/>
        <v>0</v>
      </c>
      <c r="P69" s="16"/>
      <c r="Q69" s="4">
        <f t="shared" si="14"/>
        <v>0</v>
      </c>
    </row>
    <row r="70" spans="1:17" ht="15.75" customHeight="1" x14ac:dyDescent="0.4">
      <c r="A70" s="42"/>
      <c r="B70" s="16"/>
      <c r="C70" s="16"/>
      <c r="D70" s="20"/>
      <c r="E70" s="16"/>
      <c r="F70" s="23"/>
      <c r="G70" s="43"/>
      <c r="H70" s="9"/>
      <c r="I70" s="28" t="str">
        <f t="shared" si="12"/>
        <v/>
      </c>
      <c r="J70" s="27"/>
      <c r="K70" s="27"/>
      <c r="L70" s="29" t="str">
        <f t="shared" si="13"/>
        <v/>
      </c>
      <c r="M70" s="12">
        <f t="shared" si="16"/>
        <v>0</v>
      </c>
      <c r="N70" s="12">
        <f t="shared" si="16"/>
        <v>0</v>
      </c>
      <c r="O70" s="12">
        <f t="shared" si="15"/>
        <v>0</v>
      </c>
      <c r="P70" s="16"/>
      <c r="Q70" s="4">
        <f t="shared" si="14"/>
        <v>0</v>
      </c>
    </row>
    <row r="71" spans="1:17" ht="15.75" customHeight="1" x14ac:dyDescent="0.4">
      <c r="A71" s="48"/>
      <c r="B71" s="33"/>
      <c r="C71" s="33"/>
      <c r="D71" s="32"/>
      <c r="E71" s="33"/>
      <c r="F71" s="24"/>
      <c r="G71" s="45"/>
      <c r="H71" s="9"/>
      <c r="I71" s="28" t="str">
        <f t="shared" si="12"/>
        <v/>
      </c>
      <c r="J71" s="46"/>
      <c r="K71" s="46"/>
      <c r="L71" s="29" t="str">
        <f t="shared" si="13"/>
        <v/>
      </c>
      <c r="M71" s="25">
        <f t="shared" si="16"/>
        <v>0</v>
      </c>
      <c r="N71" s="25">
        <f t="shared" si="16"/>
        <v>0</v>
      </c>
      <c r="O71" s="25">
        <f t="shared" si="15"/>
        <v>0</v>
      </c>
      <c r="P71" s="33"/>
      <c r="Q71" s="4">
        <f t="shared" si="14"/>
        <v>0</v>
      </c>
    </row>
    <row r="72" spans="1:17" ht="15.75" customHeight="1" x14ac:dyDescent="0.4">
      <c r="A72" s="42"/>
      <c r="B72" s="16"/>
      <c r="C72" s="16"/>
      <c r="D72" s="47"/>
      <c r="E72" s="16"/>
      <c r="F72" s="23"/>
      <c r="G72" s="16"/>
      <c r="H72" s="9"/>
      <c r="I72" s="28" t="str">
        <f t="shared" si="12"/>
        <v/>
      </c>
      <c r="J72" s="13"/>
      <c r="K72" s="16"/>
      <c r="L72" s="29" t="str">
        <f t="shared" si="13"/>
        <v/>
      </c>
      <c r="M72" s="25">
        <f t="shared" si="16"/>
        <v>0</v>
      </c>
      <c r="N72" s="25">
        <f t="shared" si="16"/>
        <v>0</v>
      </c>
      <c r="O72" s="25">
        <f t="shared" si="15"/>
        <v>0</v>
      </c>
      <c r="P72" s="16"/>
      <c r="Q72" s="4">
        <f t="shared" si="14"/>
        <v>0</v>
      </c>
    </row>
    <row r="73" spans="1:17" ht="15.75" customHeight="1" x14ac:dyDescent="0.4">
      <c r="A73" s="42"/>
      <c r="B73" s="16"/>
      <c r="C73" s="16"/>
      <c r="D73" s="47"/>
      <c r="E73" s="16"/>
      <c r="F73" s="23"/>
      <c r="G73" s="16"/>
      <c r="H73" s="9"/>
      <c r="I73" s="28" t="str">
        <f t="shared" si="12"/>
        <v/>
      </c>
      <c r="J73" s="13"/>
      <c r="K73" s="16"/>
      <c r="L73" s="29" t="str">
        <f t="shared" si="13"/>
        <v/>
      </c>
      <c r="M73" s="25">
        <f t="shared" si="16"/>
        <v>0</v>
      </c>
      <c r="N73" s="25">
        <f t="shared" si="16"/>
        <v>0</v>
      </c>
      <c r="O73" s="25">
        <f t="shared" si="15"/>
        <v>0</v>
      </c>
      <c r="P73" s="16"/>
      <c r="Q73" s="4">
        <f t="shared" si="14"/>
        <v>0</v>
      </c>
    </row>
    <row r="74" spans="1:17" ht="15.75" customHeight="1" x14ac:dyDescent="0.4">
      <c r="A74" s="42"/>
      <c r="B74" s="16"/>
      <c r="C74" s="16"/>
      <c r="D74" s="47"/>
      <c r="E74" s="16"/>
      <c r="F74" s="23"/>
      <c r="G74" s="16"/>
      <c r="H74" s="9"/>
      <c r="I74" s="28" t="str">
        <f t="shared" si="12"/>
        <v/>
      </c>
      <c r="J74" s="13"/>
      <c r="K74" s="16"/>
      <c r="L74" s="29" t="str">
        <f t="shared" si="13"/>
        <v/>
      </c>
      <c r="M74" s="25">
        <f t="shared" si="16"/>
        <v>0</v>
      </c>
      <c r="N74" s="25">
        <f t="shared" si="16"/>
        <v>0</v>
      </c>
      <c r="O74" s="25">
        <f t="shared" si="15"/>
        <v>0</v>
      </c>
      <c r="P74" s="16"/>
      <c r="Q74" s="4">
        <f t="shared" si="14"/>
        <v>0</v>
      </c>
    </row>
    <row r="75" spans="1:17" ht="15.75" customHeight="1" x14ac:dyDescent="0.4">
      <c r="A75" s="42"/>
      <c r="B75" s="16"/>
      <c r="C75" s="16"/>
      <c r="D75" s="47"/>
      <c r="E75" s="16"/>
      <c r="F75" s="23"/>
      <c r="G75" s="16"/>
      <c r="H75" s="9"/>
      <c r="I75" s="28" t="str">
        <f t="shared" si="12"/>
        <v/>
      </c>
      <c r="J75" s="13"/>
      <c r="K75" s="16"/>
      <c r="L75" s="29" t="str">
        <f t="shared" si="13"/>
        <v/>
      </c>
      <c r="M75" s="25">
        <f t="shared" si="16"/>
        <v>0</v>
      </c>
      <c r="N75" s="25">
        <f t="shared" si="16"/>
        <v>0</v>
      </c>
      <c r="O75" s="25">
        <f t="shared" si="15"/>
        <v>0</v>
      </c>
      <c r="P75" s="16"/>
      <c r="Q75" s="4">
        <f t="shared" si="14"/>
        <v>0</v>
      </c>
    </row>
    <row r="76" spans="1:17" ht="15.75" customHeight="1" x14ac:dyDescent="0.4">
      <c r="A76" s="42"/>
      <c r="B76" s="16"/>
      <c r="C76" s="16"/>
      <c r="D76" s="47"/>
      <c r="E76" s="16"/>
      <c r="F76" s="23"/>
      <c r="G76" s="16"/>
      <c r="H76" s="9"/>
      <c r="I76" s="28" t="str">
        <f t="shared" si="12"/>
        <v/>
      </c>
      <c r="J76" s="13"/>
      <c r="K76" s="16"/>
      <c r="L76" s="29" t="str">
        <f t="shared" si="13"/>
        <v/>
      </c>
      <c r="M76" s="25">
        <f t="shared" si="16"/>
        <v>0</v>
      </c>
      <c r="N76" s="25">
        <f t="shared" si="16"/>
        <v>0</v>
      </c>
      <c r="O76" s="25">
        <f t="shared" si="15"/>
        <v>0</v>
      </c>
      <c r="P76" s="16"/>
      <c r="Q76" s="4">
        <f t="shared" si="14"/>
        <v>0</v>
      </c>
    </row>
    <row r="77" spans="1:17" ht="15.75" customHeight="1" x14ac:dyDescent="0.4">
      <c r="A77" s="48"/>
      <c r="B77" s="33"/>
      <c r="C77" s="33"/>
      <c r="D77" s="50"/>
      <c r="E77" s="33"/>
      <c r="F77" s="24"/>
      <c r="G77" s="33"/>
      <c r="H77" s="9"/>
      <c r="I77" s="28" t="str">
        <f t="shared" si="12"/>
        <v/>
      </c>
      <c r="J77" s="21"/>
      <c r="K77" s="33"/>
      <c r="L77" s="29" t="str">
        <f t="shared" si="13"/>
        <v/>
      </c>
      <c r="M77" s="25">
        <f t="shared" si="16"/>
        <v>0</v>
      </c>
      <c r="N77" s="25">
        <f t="shared" si="16"/>
        <v>0</v>
      </c>
      <c r="O77" s="25">
        <f t="shared" si="15"/>
        <v>0</v>
      </c>
      <c r="P77" s="33"/>
      <c r="Q77" s="4">
        <f t="shared" si="14"/>
        <v>0</v>
      </c>
    </row>
    <row r="78" spans="1:17" ht="15.75" customHeight="1" x14ac:dyDescent="0.4">
      <c r="A78" s="42"/>
      <c r="B78" s="16"/>
      <c r="C78" s="16"/>
      <c r="D78" s="20"/>
      <c r="E78" s="16"/>
      <c r="F78" s="23"/>
      <c r="G78" s="16"/>
      <c r="H78" s="9"/>
      <c r="I78" s="28" t="str">
        <f t="shared" si="12"/>
        <v/>
      </c>
      <c r="J78" s="13"/>
      <c r="K78" s="16"/>
      <c r="L78" s="29" t="str">
        <f t="shared" si="13"/>
        <v/>
      </c>
      <c r="M78" s="25">
        <f t="shared" si="16"/>
        <v>0</v>
      </c>
      <c r="N78" s="25">
        <f t="shared" si="16"/>
        <v>0</v>
      </c>
      <c r="O78" s="25">
        <f t="shared" si="15"/>
        <v>0</v>
      </c>
      <c r="P78" s="33"/>
      <c r="Q78" s="52">
        <f t="shared" si="14"/>
        <v>0</v>
      </c>
    </row>
    <row r="79" spans="1:17" ht="15.75" customHeight="1" x14ac:dyDescent="0.5">
      <c r="H79" s="49"/>
      <c r="L79" s="14"/>
      <c r="M79" s="16"/>
      <c r="N79" s="16"/>
      <c r="O79" s="16"/>
      <c r="P79" s="12"/>
      <c r="Q79" s="51">
        <f>SUM(Q3:Q78)</f>
        <v>22380</v>
      </c>
    </row>
    <row r="80" spans="1:17" ht="15.75" customHeight="1" x14ac:dyDescent="0.4">
      <c r="H80" s="49"/>
    </row>
    <row r="81" spans="8:8" ht="15.75" customHeight="1" x14ac:dyDescent="0.4">
      <c r="H81" s="49"/>
    </row>
    <row r="82" spans="8:8" ht="15.75" customHeight="1" x14ac:dyDescent="0.4">
      <c r="H82" s="49"/>
    </row>
    <row r="83" spans="8:8" ht="15.75" customHeight="1" x14ac:dyDescent="0.4">
      <c r="H83" s="49"/>
    </row>
    <row r="84" spans="8:8" ht="15.75" customHeight="1" x14ac:dyDescent="0.4">
      <c r="H84" s="49"/>
    </row>
    <row r="85" spans="8:8" ht="15.75" customHeight="1" x14ac:dyDescent="0.4">
      <c r="H85" s="49"/>
    </row>
    <row r="86" spans="8:8" ht="15.75" customHeight="1" x14ac:dyDescent="0.4">
      <c r="H86" s="49"/>
    </row>
    <row r="87" spans="8:8" ht="15.75" customHeight="1" x14ac:dyDescent="0.4">
      <c r="H87" s="49"/>
    </row>
    <row r="88" spans="8:8" ht="15.75" customHeight="1" x14ac:dyDescent="0.4">
      <c r="H88" s="49"/>
    </row>
    <row r="89" spans="8:8" ht="15.75" customHeight="1" x14ac:dyDescent="0.4">
      <c r="H89" s="49"/>
    </row>
    <row r="90" spans="8:8" ht="15.75" customHeight="1" x14ac:dyDescent="0.4">
      <c r="H90" s="49"/>
    </row>
    <row r="91" spans="8:8" ht="15.75" customHeight="1" x14ac:dyDescent="0.4">
      <c r="H91" s="49"/>
    </row>
    <row r="92" spans="8:8" ht="15.75" customHeight="1" x14ac:dyDescent="0.4">
      <c r="H92" s="49"/>
    </row>
    <row r="93" spans="8:8" ht="15.75" customHeight="1" x14ac:dyDescent="0.4">
      <c r="H93" s="49"/>
    </row>
    <row r="94" spans="8:8" ht="15.75" customHeight="1" x14ac:dyDescent="0.4">
      <c r="H94" s="49"/>
    </row>
    <row r="95" spans="8:8" ht="15.75" customHeight="1" x14ac:dyDescent="0.4">
      <c r="H95" s="49"/>
    </row>
    <row r="96" spans="8:8" ht="15.75" customHeight="1" x14ac:dyDescent="0.4">
      <c r="H96" s="49"/>
    </row>
    <row r="97" spans="8:8" ht="15.75" customHeight="1" x14ac:dyDescent="0.4">
      <c r="H97" s="49"/>
    </row>
    <row r="98" spans="8:8" ht="15.75" customHeight="1" x14ac:dyDescent="0.4">
      <c r="H98" s="49"/>
    </row>
    <row r="99" spans="8:8" ht="15.75" customHeight="1" x14ac:dyDescent="0.4">
      <c r="H99" s="49"/>
    </row>
    <row r="100" spans="8:8" ht="15.75" customHeight="1" x14ac:dyDescent="0.4">
      <c r="H100" s="49"/>
    </row>
    <row r="101" spans="8:8" ht="15.75" customHeight="1" x14ac:dyDescent="0.4">
      <c r="H101" s="49"/>
    </row>
    <row r="102" spans="8:8" ht="15.75" customHeight="1" x14ac:dyDescent="0.4">
      <c r="H102" s="49"/>
    </row>
    <row r="103" spans="8:8" ht="15.75" customHeight="1" x14ac:dyDescent="0.4">
      <c r="H103" s="49"/>
    </row>
    <row r="104" spans="8:8" ht="15.75" customHeight="1" x14ac:dyDescent="0.4">
      <c r="H104" s="49"/>
    </row>
    <row r="105" spans="8:8" ht="15.75" customHeight="1" x14ac:dyDescent="0.4">
      <c r="H105" s="49"/>
    </row>
    <row r="106" spans="8:8" ht="15.75" customHeight="1" x14ac:dyDescent="0.4">
      <c r="H106" s="49"/>
    </row>
    <row r="107" spans="8:8" ht="15.75" customHeight="1" x14ac:dyDescent="0.4">
      <c r="H107" s="49"/>
    </row>
    <row r="108" spans="8:8" ht="15.75" customHeight="1" x14ac:dyDescent="0.4">
      <c r="H108" s="49"/>
    </row>
    <row r="109" spans="8:8" ht="15.75" customHeight="1" x14ac:dyDescent="0.4">
      <c r="H109" s="49"/>
    </row>
    <row r="110" spans="8:8" ht="15.75" customHeight="1" x14ac:dyDescent="0.4">
      <c r="H110" s="49"/>
    </row>
    <row r="111" spans="8:8" ht="15.75" customHeight="1" x14ac:dyDescent="0.4">
      <c r="H111" s="49"/>
    </row>
    <row r="112" spans="8:8" ht="15.75" customHeight="1" x14ac:dyDescent="0.4">
      <c r="H112" s="49"/>
    </row>
    <row r="113" spans="8:8" ht="15.75" customHeight="1" x14ac:dyDescent="0.4">
      <c r="H113" s="49"/>
    </row>
    <row r="114" spans="8:8" ht="15.75" customHeight="1" x14ac:dyDescent="0.4">
      <c r="H114" s="49"/>
    </row>
    <row r="115" spans="8:8" ht="15.75" customHeight="1" x14ac:dyDescent="0.4">
      <c r="H115" s="49"/>
    </row>
    <row r="116" spans="8:8" ht="15.75" customHeight="1" x14ac:dyDescent="0.4">
      <c r="H116" s="49"/>
    </row>
    <row r="117" spans="8:8" ht="15.75" customHeight="1" x14ac:dyDescent="0.4">
      <c r="H117" s="49"/>
    </row>
    <row r="118" spans="8:8" ht="15.75" customHeight="1" x14ac:dyDescent="0.4">
      <c r="H118" s="49"/>
    </row>
    <row r="119" spans="8:8" ht="15.75" customHeight="1" x14ac:dyDescent="0.4">
      <c r="H119" s="49"/>
    </row>
    <row r="120" spans="8:8" ht="15.75" customHeight="1" x14ac:dyDescent="0.4">
      <c r="H120" s="49"/>
    </row>
    <row r="121" spans="8:8" ht="15.75" customHeight="1" x14ac:dyDescent="0.4">
      <c r="H121" s="49"/>
    </row>
    <row r="122" spans="8:8" ht="15.75" customHeight="1" x14ac:dyDescent="0.4">
      <c r="H122" s="49"/>
    </row>
    <row r="123" spans="8:8" ht="15.75" customHeight="1" x14ac:dyDescent="0.4">
      <c r="H123" s="49"/>
    </row>
    <row r="124" spans="8:8" ht="15.75" customHeight="1" x14ac:dyDescent="0.4">
      <c r="H124" s="49"/>
    </row>
    <row r="125" spans="8:8" ht="15.75" customHeight="1" x14ac:dyDescent="0.4">
      <c r="H125" s="49"/>
    </row>
    <row r="126" spans="8:8" ht="15.75" customHeight="1" x14ac:dyDescent="0.4">
      <c r="H126" s="49"/>
    </row>
    <row r="127" spans="8:8" ht="15.75" customHeight="1" x14ac:dyDescent="0.4">
      <c r="H127" s="49"/>
    </row>
    <row r="128" spans="8:8" ht="15.75" customHeight="1" x14ac:dyDescent="0.4">
      <c r="H128" s="49"/>
    </row>
    <row r="129" spans="8:8" ht="15.75" customHeight="1" x14ac:dyDescent="0.4">
      <c r="H129" s="49"/>
    </row>
    <row r="130" spans="8:8" ht="15.75" customHeight="1" x14ac:dyDescent="0.4">
      <c r="H130" s="49"/>
    </row>
    <row r="131" spans="8:8" ht="15.75" customHeight="1" x14ac:dyDescent="0.4">
      <c r="H131" s="49"/>
    </row>
    <row r="132" spans="8:8" ht="15.75" customHeight="1" x14ac:dyDescent="0.4">
      <c r="H132" s="49"/>
    </row>
    <row r="133" spans="8:8" ht="15.75" customHeight="1" x14ac:dyDescent="0.4">
      <c r="H133" s="49"/>
    </row>
    <row r="134" spans="8:8" ht="15.75" customHeight="1" x14ac:dyDescent="0.4">
      <c r="H134" s="49"/>
    </row>
    <row r="135" spans="8:8" ht="15.75" customHeight="1" x14ac:dyDescent="0.4">
      <c r="H135" s="49"/>
    </row>
    <row r="136" spans="8:8" ht="15.75" customHeight="1" x14ac:dyDescent="0.4">
      <c r="H136" s="49"/>
    </row>
    <row r="137" spans="8:8" ht="15.75" customHeight="1" x14ac:dyDescent="0.4">
      <c r="H137" s="49"/>
    </row>
    <row r="138" spans="8:8" ht="15.75" customHeight="1" x14ac:dyDescent="0.4">
      <c r="H138" s="49"/>
    </row>
    <row r="139" spans="8:8" ht="15.75" customHeight="1" x14ac:dyDescent="0.4">
      <c r="H139" s="49"/>
    </row>
    <row r="140" spans="8:8" ht="15.75" customHeight="1" x14ac:dyDescent="0.4">
      <c r="H140" s="49"/>
    </row>
    <row r="141" spans="8:8" ht="15.75" customHeight="1" x14ac:dyDescent="0.4">
      <c r="H141" s="49"/>
    </row>
    <row r="142" spans="8:8" ht="15.75" customHeight="1" x14ac:dyDescent="0.4">
      <c r="H142" s="49"/>
    </row>
    <row r="143" spans="8:8" ht="15.75" customHeight="1" x14ac:dyDescent="0.4">
      <c r="H143" s="49"/>
    </row>
    <row r="144" spans="8:8" ht="15.75" customHeight="1" x14ac:dyDescent="0.4">
      <c r="H144" s="49"/>
    </row>
    <row r="145" spans="8:8" ht="15.75" customHeight="1" x14ac:dyDescent="0.4">
      <c r="H145" s="49"/>
    </row>
    <row r="146" spans="8:8" ht="15.75" customHeight="1" x14ac:dyDescent="0.4">
      <c r="H146" s="49"/>
    </row>
    <row r="147" spans="8:8" ht="15.75" customHeight="1" x14ac:dyDescent="0.4">
      <c r="H147" s="49"/>
    </row>
    <row r="148" spans="8:8" ht="15.75" customHeight="1" x14ac:dyDescent="0.4">
      <c r="H148" s="49"/>
    </row>
    <row r="149" spans="8:8" ht="15.75" customHeight="1" x14ac:dyDescent="0.4">
      <c r="H149" s="49"/>
    </row>
    <row r="150" spans="8:8" ht="15.75" customHeight="1" x14ac:dyDescent="0.4">
      <c r="H150" s="49"/>
    </row>
    <row r="151" spans="8:8" ht="15.75" customHeight="1" x14ac:dyDescent="0.4">
      <c r="H151" s="49"/>
    </row>
    <row r="152" spans="8:8" ht="15.75" customHeight="1" x14ac:dyDescent="0.4">
      <c r="H152" s="49"/>
    </row>
    <row r="153" spans="8:8" ht="15.75" customHeight="1" x14ac:dyDescent="0.4">
      <c r="H153" s="49"/>
    </row>
    <row r="154" spans="8:8" ht="15.75" customHeight="1" x14ac:dyDescent="0.4">
      <c r="H154" s="49"/>
    </row>
    <row r="155" spans="8:8" ht="15.75" customHeight="1" x14ac:dyDescent="0.4">
      <c r="H155" s="49"/>
    </row>
    <row r="156" spans="8:8" ht="15.75" customHeight="1" x14ac:dyDescent="0.4">
      <c r="H156" s="49"/>
    </row>
    <row r="157" spans="8:8" ht="15.75" customHeight="1" x14ac:dyDescent="0.4">
      <c r="H157" s="49"/>
    </row>
    <row r="158" spans="8:8" ht="15.75" customHeight="1" x14ac:dyDescent="0.4">
      <c r="H158" s="49"/>
    </row>
    <row r="159" spans="8:8" ht="15.75" customHeight="1" x14ac:dyDescent="0.4">
      <c r="H159" s="49"/>
    </row>
    <row r="160" spans="8:8" ht="15.75" customHeight="1" x14ac:dyDescent="0.4">
      <c r="H160" s="49"/>
    </row>
    <row r="161" spans="8:8" ht="15.75" customHeight="1" x14ac:dyDescent="0.4">
      <c r="H161" s="49"/>
    </row>
    <row r="162" spans="8:8" ht="15.75" customHeight="1" x14ac:dyDescent="0.4">
      <c r="H162" s="49"/>
    </row>
    <row r="163" spans="8:8" ht="15.75" customHeight="1" x14ac:dyDescent="0.4">
      <c r="H163" s="49"/>
    </row>
    <row r="164" spans="8:8" ht="15.75" customHeight="1" x14ac:dyDescent="0.4">
      <c r="H164" s="49"/>
    </row>
    <row r="165" spans="8:8" ht="15.75" customHeight="1" x14ac:dyDescent="0.4">
      <c r="H165" s="49"/>
    </row>
    <row r="166" spans="8:8" ht="15.75" customHeight="1" x14ac:dyDescent="0.4">
      <c r="H166" s="49"/>
    </row>
    <row r="167" spans="8:8" ht="15.75" customHeight="1" x14ac:dyDescent="0.4">
      <c r="H167" s="49"/>
    </row>
    <row r="168" spans="8:8" ht="15.75" customHeight="1" x14ac:dyDescent="0.4">
      <c r="H168" s="49"/>
    </row>
    <row r="169" spans="8:8" ht="15.75" customHeight="1" x14ac:dyDescent="0.4">
      <c r="H169" s="49"/>
    </row>
    <row r="170" spans="8:8" ht="15.75" customHeight="1" x14ac:dyDescent="0.4">
      <c r="H170" s="49"/>
    </row>
    <row r="171" spans="8:8" ht="15.75" customHeight="1" x14ac:dyDescent="0.4">
      <c r="H171" s="49"/>
    </row>
    <row r="172" spans="8:8" ht="15.75" customHeight="1" x14ac:dyDescent="0.4">
      <c r="H172" s="49"/>
    </row>
    <row r="173" spans="8:8" ht="15.75" customHeight="1" x14ac:dyDescent="0.4">
      <c r="H173" s="49"/>
    </row>
    <row r="174" spans="8:8" ht="15.75" customHeight="1" x14ac:dyDescent="0.4">
      <c r="H174" s="49"/>
    </row>
    <row r="175" spans="8:8" ht="15.75" customHeight="1" x14ac:dyDescent="0.4">
      <c r="H175" s="49"/>
    </row>
    <row r="176" spans="8:8" ht="15.75" customHeight="1" x14ac:dyDescent="0.4">
      <c r="H176" s="49"/>
    </row>
    <row r="177" spans="8:8" ht="15.75" customHeight="1" x14ac:dyDescent="0.4">
      <c r="H177" s="49"/>
    </row>
    <row r="178" spans="8:8" ht="15.75" customHeight="1" x14ac:dyDescent="0.4">
      <c r="H178" s="49"/>
    </row>
    <row r="179" spans="8:8" ht="15.75" customHeight="1" x14ac:dyDescent="0.4">
      <c r="H179" s="49"/>
    </row>
    <row r="180" spans="8:8" ht="15.75" customHeight="1" x14ac:dyDescent="0.4">
      <c r="H180" s="49"/>
    </row>
    <row r="181" spans="8:8" ht="15.75" customHeight="1" x14ac:dyDescent="0.4">
      <c r="H181" s="49"/>
    </row>
    <row r="182" spans="8:8" ht="15.75" customHeight="1" x14ac:dyDescent="0.4">
      <c r="H182" s="49"/>
    </row>
    <row r="183" spans="8:8" ht="15.75" customHeight="1" x14ac:dyDescent="0.4">
      <c r="H183" s="49"/>
    </row>
    <row r="184" spans="8:8" ht="15.75" customHeight="1" x14ac:dyDescent="0.4">
      <c r="H184" s="49"/>
    </row>
    <row r="185" spans="8:8" ht="15.75" customHeight="1" x14ac:dyDescent="0.4">
      <c r="H185" s="49"/>
    </row>
    <row r="186" spans="8:8" ht="15.75" customHeight="1" x14ac:dyDescent="0.4">
      <c r="H186" s="49"/>
    </row>
    <row r="187" spans="8:8" ht="15.75" customHeight="1" x14ac:dyDescent="0.4">
      <c r="H187" s="49"/>
    </row>
    <row r="188" spans="8:8" ht="15.75" customHeight="1" x14ac:dyDescent="0.4">
      <c r="H188" s="49"/>
    </row>
    <row r="189" spans="8:8" ht="15.75" customHeight="1" x14ac:dyDescent="0.4">
      <c r="H189" s="49"/>
    </row>
    <row r="190" spans="8:8" ht="15.75" customHeight="1" x14ac:dyDescent="0.4">
      <c r="H190" s="49"/>
    </row>
    <row r="191" spans="8:8" ht="15.75" customHeight="1" x14ac:dyDescent="0.4">
      <c r="H191" s="49"/>
    </row>
    <row r="192" spans="8:8" ht="15.75" customHeight="1" x14ac:dyDescent="0.4">
      <c r="H192" s="49"/>
    </row>
    <row r="193" spans="8:8" ht="15.75" customHeight="1" x14ac:dyDescent="0.4">
      <c r="H193" s="49"/>
    </row>
    <row r="194" spans="8:8" ht="15.75" customHeight="1" x14ac:dyDescent="0.4">
      <c r="H194" s="49"/>
    </row>
    <row r="195" spans="8:8" ht="15.75" customHeight="1" x14ac:dyDescent="0.4">
      <c r="H195" s="49"/>
    </row>
    <row r="196" spans="8:8" ht="15.75" customHeight="1" x14ac:dyDescent="0.4">
      <c r="H196" s="49"/>
    </row>
    <row r="197" spans="8:8" ht="15.75" customHeight="1" x14ac:dyDescent="0.4">
      <c r="H197" s="49"/>
    </row>
    <row r="198" spans="8:8" ht="15.75" customHeight="1" x14ac:dyDescent="0.4">
      <c r="H198" s="49"/>
    </row>
    <row r="199" spans="8:8" ht="15.75" customHeight="1" x14ac:dyDescent="0.4">
      <c r="H199" s="49"/>
    </row>
    <row r="200" spans="8:8" ht="15.75" customHeight="1" x14ac:dyDescent="0.4">
      <c r="H200" s="49"/>
    </row>
    <row r="201" spans="8:8" ht="15.75" customHeight="1" x14ac:dyDescent="0.4">
      <c r="H201" s="49"/>
    </row>
    <row r="202" spans="8:8" ht="15.75" customHeight="1" x14ac:dyDescent="0.4">
      <c r="H202" s="49"/>
    </row>
    <row r="203" spans="8:8" ht="15.75" customHeight="1" x14ac:dyDescent="0.4">
      <c r="H203" s="49"/>
    </row>
    <row r="204" spans="8:8" ht="15.75" customHeight="1" x14ac:dyDescent="0.4">
      <c r="H204" s="49"/>
    </row>
    <row r="205" spans="8:8" ht="15.75" customHeight="1" x14ac:dyDescent="0.4">
      <c r="H205" s="49"/>
    </row>
    <row r="206" spans="8:8" ht="15.75" customHeight="1" x14ac:dyDescent="0.4">
      <c r="H206" s="49"/>
    </row>
    <row r="207" spans="8:8" ht="15.75" customHeight="1" x14ac:dyDescent="0.4">
      <c r="H207" s="49"/>
    </row>
    <row r="208" spans="8:8" ht="15.75" customHeight="1" x14ac:dyDescent="0.4">
      <c r="H208" s="49"/>
    </row>
    <row r="209" spans="8:8" ht="15.75" customHeight="1" x14ac:dyDescent="0.4">
      <c r="H209" s="49"/>
    </row>
    <row r="210" spans="8:8" ht="15.75" customHeight="1" x14ac:dyDescent="0.4">
      <c r="H210" s="49"/>
    </row>
    <row r="211" spans="8:8" ht="15.75" customHeight="1" x14ac:dyDescent="0.4">
      <c r="H211" s="49"/>
    </row>
    <row r="212" spans="8:8" ht="15.75" customHeight="1" x14ac:dyDescent="0.4">
      <c r="H212" s="49"/>
    </row>
    <row r="213" spans="8:8" ht="15.75" customHeight="1" x14ac:dyDescent="0.4">
      <c r="H213" s="49"/>
    </row>
    <row r="214" spans="8:8" ht="15.75" customHeight="1" x14ac:dyDescent="0.4">
      <c r="H214" s="49"/>
    </row>
    <row r="215" spans="8:8" ht="15.75" customHeight="1" x14ac:dyDescent="0.4">
      <c r="H215" s="49"/>
    </row>
    <row r="216" spans="8:8" ht="15.75" customHeight="1" x14ac:dyDescent="0.4">
      <c r="H216" s="49"/>
    </row>
    <row r="217" spans="8:8" ht="15.75" customHeight="1" x14ac:dyDescent="0.4">
      <c r="H217" s="49"/>
    </row>
    <row r="218" spans="8:8" ht="15.75" customHeight="1" x14ac:dyDescent="0.4">
      <c r="H218" s="49"/>
    </row>
    <row r="219" spans="8:8" ht="15.75" customHeight="1" x14ac:dyDescent="0.4">
      <c r="H219" s="49"/>
    </row>
    <row r="220" spans="8:8" ht="15.75" customHeight="1" x14ac:dyDescent="0.4">
      <c r="H220" s="49"/>
    </row>
    <row r="221" spans="8:8" ht="15.75" customHeight="1" x14ac:dyDescent="0.4">
      <c r="H221" s="49"/>
    </row>
    <row r="222" spans="8:8" ht="15.75" customHeight="1" x14ac:dyDescent="0.4">
      <c r="H222" s="49"/>
    </row>
    <row r="223" spans="8:8" ht="15.75" customHeight="1" x14ac:dyDescent="0.4">
      <c r="H223" s="49"/>
    </row>
    <row r="224" spans="8:8" ht="15.75" customHeight="1" x14ac:dyDescent="0.4">
      <c r="H224" s="49"/>
    </row>
    <row r="225" spans="8:8" ht="15.75" customHeight="1" x14ac:dyDescent="0.4">
      <c r="H225" s="49"/>
    </row>
    <row r="226" spans="8:8" ht="15.75" customHeight="1" x14ac:dyDescent="0.4">
      <c r="H226" s="49"/>
    </row>
    <row r="227" spans="8:8" ht="15.75" customHeight="1" x14ac:dyDescent="0.4">
      <c r="H227" s="49"/>
    </row>
    <row r="228" spans="8:8" ht="15.75" customHeight="1" x14ac:dyDescent="0.4">
      <c r="H228" s="49"/>
    </row>
    <row r="229" spans="8:8" ht="15.75" customHeight="1" x14ac:dyDescent="0.4">
      <c r="H229" s="49"/>
    </row>
    <row r="230" spans="8:8" ht="15.75" customHeight="1" x14ac:dyDescent="0.4">
      <c r="H230" s="49"/>
    </row>
    <row r="231" spans="8:8" ht="15.75" customHeight="1" x14ac:dyDescent="0.4">
      <c r="H231" s="49"/>
    </row>
    <row r="232" spans="8:8" ht="15.75" customHeight="1" x14ac:dyDescent="0.4">
      <c r="H232" s="49"/>
    </row>
    <row r="233" spans="8:8" ht="15.75" customHeight="1" x14ac:dyDescent="0.4">
      <c r="H233" s="49"/>
    </row>
    <row r="234" spans="8:8" ht="15.75" customHeight="1" x14ac:dyDescent="0.4">
      <c r="H234" s="49"/>
    </row>
    <row r="235" spans="8:8" ht="15.75" customHeight="1" x14ac:dyDescent="0.4">
      <c r="H235" s="49"/>
    </row>
    <row r="236" spans="8:8" ht="15.75" customHeight="1" x14ac:dyDescent="0.4">
      <c r="H236" s="49"/>
    </row>
    <row r="237" spans="8:8" ht="15.75" customHeight="1" x14ac:dyDescent="0.4">
      <c r="H237" s="49"/>
    </row>
    <row r="238" spans="8:8" ht="15.75" customHeight="1" x14ac:dyDescent="0.4">
      <c r="H238" s="49"/>
    </row>
    <row r="239" spans="8:8" ht="15.75" customHeight="1" x14ac:dyDescent="0.4">
      <c r="H239" s="49"/>
    </row>
    <row r="240" spans="8:8" ht="15.75" customHeight="1" x14ac:dyDescent="0.4">
      <c r="H240" s="49"/>
    </row>
    <row r="241" spans="8:8" ht="15.75" customHeight="1" x14ac:dyDescent="0.4">
      <c r="H241" s="49"/>
    </row>
    <row r="242" spans="8:8" ht="15.75" customHeight="1" x14ac:dyDescent="0.4">
      <c r="H242" s="49"/>
    </row>
    <row r="243" spans="8:8" ht="15.75" customHeight="1" x14ac:dyDescent="0.4">
      <c r="H243" s="49"/>
    </row>
    <row r="244" spans="8:8" ht="15.75" customHeight="1" x14ac:dyDescent="0.4">
      <c r="H244" s="49"/>
    </row>
    <row r="245" spans="8:8" ht="15.75" customHeight="1" x14ac:dyDescent="0.4">
      <c r="H245" s="49"/>
    </row>
    <row r="246" spans="8:8" ht="15.75" customHeight="1" x14ac:dyDescent="0.4">
      <c r="H246" s="49"/>
    </row>
    <row r="247" spans="8:8" ht="15.75" customHeight="1" x14ac:dyDescent="0.4">
      <c r="H247" s="49"/>
    </row>
    <row r="248" spans="8:8" ht="15.75" customHeight="1" x14ac:dyDescent="0.4">
      <c r="H248" s="49"/>
    </row>
    <row r="249" spans="8:8" ht="15.75" customHeight="1" x14ac:dyDescent="0.4">
      <c r="H249" s="49"/>
    </row>
    <row r="250" spans="8:8" ht="15.75" customHeight="1" x14ac:dyDescent="0.4">
      <c r="H250" s="49"/>
    </row>
    <row r="251" spans="8:8" ht="15.75" customHeight="1" x14ac:dyDescent="0.4">
      <c r="H251" s="49"/>
    </row>
    <row r="252" spans="8:8" ht="15.75" customHeight="1" x14ac:dyDescent="0.4">
      <c r="H252" s="49"/>
    </row>
    <row r="253" spans="8:8" ht="15.75" customHeight="1" x14ac:dyDescent="0.4">
      <c r="H253" s="49"/>
    </row>
    <row r="254" spans="8:8" ht="15.75" customHeight="1" x14ac:dyDescent="0.4">
      <c r="H254" s="49"/>
    </row>
    <row r="255" spans="8:8" ht="15.75" customHeight="1" x14ac:dyDescent="0.4">
      <c r="H255" s="49"/>
    </row>
    <row r="256" spans="8:8" ht="15.75" customHeight="1" x14ac:dyDescent="0.4">
      <c r="H256" s="49"/>
    </row>
    <row r="257" spans="8:8" ht="15.75" customHeight="1" x14ac:dyDescent="0.4">
      <c r="H257" s="49"/>
    </row>
    <row r="258" spans="8:8" ht="15.75" customHeight="1" x14ac:dyDescent="0.4">
      <c r="H258" s="49"/>
    </row>
    <row r="259" spans="8:8" ht="15.75" customHeight="1" x14ac:dyDescent="0.4">
      <c r="H259" s="49"/>
    </row>
    <row r="260" spans="8:8" ht="15.75" customHeight="1" x14ac:dyDescent="0.4">
      <c r="H260" s="49"/>
    </row>
    <row r="261" spans="8:8" ht="15.75" customHeight="1" x14ac:dyDescent="0.4">
      <c r="H261" s="49"/>
    </row>
    <row r="262" spans="8:8" ht="15.75" customHeight="1" x14ac:dyDescent="0.4">
      <c r="H262" s="49"/>
    </row>
    <row r="263" spans="8:8" ht="15.75" customHeight="1" x14ac:dyDescent="0.4">
      <c r="H263" s="49"/>
    </row>
    <row r="264" spans="8:8" ht="15.75" customHeight="1" x14ac:dyDescent="0.4">
      <c r="H264" s="49"/>
    </row>
    <row r="265" spans="8:8" ht="15.75" customHeight="1" x14ac:dyDescent="0.4">
      <c r="H265" s="49"/>
    </row>
    <row r="266" spans="8:8" ht="15.75" customHeight="1" x14ac:dyDescent="0.4">
      <c r="H266" s="49"/>
    </row>
    <row r="267" spans="8:8" ht="15.75" customHeight="1" x14ac:dyDescent="0.4">
      <c r="H267" s="49"/>
    </row>
    <row r="268" spans="8:8" ht="15.75" customHeight="1" x14ac:dyDescent="0.4">
      <c r="H268" s="49"/>
    </row>
    <row r="269" spans="8:8" ht="15.75" customHeight="1" x14ac:dyDescent="0.4">
      <c r="H269" s="49"/>
    </row>
    <row r="270" spans="8:8" ht="15.75" customHeight="1" x14ac:dyDescent="0.4">
      <c r="H270" s="49"/>
    </row>
    <row r="271" spans="8:8" ht="15.75" customHeight="1" x14ac:dyDescent="0.4">
      <c r="H271" s="49"/>
    </row>
    <row r="272" spans="8:8" ht="15.75" customHeight="1" x14ac:dyDescent="0.4">
      <c r="H272" s="49"/>
    </row>
    <row r="273" spans="8:8" ht="15.75" customHeight="1" x14ac:dyDescent="0.4">
      <c r="H273" s="40"/>
    </row>
  </sheetData>
  <autoFilter ref="A2:T78" xr:uid="{F45FA563-21A6-654D-BA18-F2520DF94993}"/>
  <dataValidations count="1">
    <dataValidation allowBlank="1" showInputMessage="1" showErrorMessage="1" sqref="A68:B1048576 C3:C58 L80:L1048576 M79:O1048576 J72:K1048576 Q79:Q1048576 P80:P1048576 C59:G1048576 P59:P78 R59:XFD1048576 I3:I1048576" xr:uid="{7B15781D-FB4B-4FD7-BE41-1DCE5462C051}"/>
  </dataValidation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0ABCFEFC-49FE-4560-8172-247EE0F9E30C}">
          <x14:formula1>
            <xm:f>'worksheet '!$D$2:$D$6</xm:f>
          </x14:formula1>
          <xm:sqref>L79</xm:sqref>
        </x14:dataValidation>
        <x14:dataValidation type="list" allowBlank="1" showInputMessage="1" showErrorMessage="1" xr:uid="{0DDF5DD5-744C-42EB-ACA7-7EC730CB3C20}">
          <x14:formula1>
            <xm:f>'worksheet '!$C$2:$C$8</xm:f>
          </x14:formula1>
          <xm:sqref>H79:H1048576</xm:sqref>
        </x14:dataValidation>
        <x14:dataValidation type="list" allowBlank="1" showInputMessage="1" showErrorMessage="1" xr:uid="{ECCB1336-E491-449D-8A31-1ED2D9C7DD7A}">
          <x14:formula1>
            <xm:f>'worksheet '!$B$2:$B$3</xm:f>
          </x14:formula1>
          <xm:sqref>G3:G58</xm:sqref>
        </x14:dataValidation>
        <x14:dataValidation type="list" allowBlank="1" showInputMessage="1" showErrorMessage="1" xr:uid="{EA8C3585-5C93-43CA-AD59-FF32DAE8D6AD}">
          <x14:formula1>
            <xm:f>'worksheet '!$J$2:$J$3</xm:f>
          </x14:formula1>
          <xm:sqref>J3:K71</xm:sqref>
        </x14:dataValidation>
        <x14:dataValidation type="list" allowBlank="1" showInputMessage="1" showErrorMessage="1" xr:uid="{7E0506F4-3949-40D2-9C75-2134A3E95F4C}">
          <x14:formula1>
            <xm:f>'worksheet '!$C$2:$C$9</xm:f>
          </x14:formula1>
          <xm:sqref>H3:H78</xm:sqref>
        </x14:dataValidation>
        <x14:dataValidation type="list" allowBlank="1" showInputMessage="1" showErrorMessage="1" xr:uid="{BA3F5439-D8E6-45B4-95C0-DA58686B917A}">
          <x14:formula1>
            <xm:f>'worksheet '!$D$2:$D$9</xm:f>
          </x14:formula1>
          <xm:sqref>L3:L78</xm:sqref>
        </x14:dataValidation>
        <x14:dataValidation type="list" showInputMessage="1" showErrorMessage="1" xr:uid="{C37EFBCD-C42A-4315-876B-E07BA28AEE86}">
          <x14:formula1>
            <xm:f>'worksheet '!$A$5:$A$46</xm:f>
          </x14:formula1>
          <xm:sqref>B3:B67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 </vt:lpstr>
      <vt:lpstr>Vf and RF Bill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Emran Shaikh</dc:creator>
  <cp:keywords/>
  <dc:description/>
  <cp:lastModifiedBy>Al Fahiyan Siyam</cp:lastModifiedBy>
  <cp:revision/>
  <dcterms:created xsi:type="dcterms:W3CDTF">2026-01-30T06:28:53Z</dcterms:created>
  <dcterms:modified xsi:type="dcterms:W3CDTF">2026-07-14T21:04:29Z</dcterms:modified>
  <cp:category/>
  <cp:contentStatus/>
</cp:coreProperties>
</file>